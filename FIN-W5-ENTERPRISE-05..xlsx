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/>
  <mc:AlternateContent xmlns:mc="http://schemas.openxmlformats.org/markup-compatibility/2006">
    <mc:Choice Requires="x15">
      <x15ac:absPath xmlns:x15ac="http://schemas.microsoft.com/office/spreadsheetml/2010/11/ac" url="C:\Users\DELL\Desktop\Ammar Assignment\FIN 005\"/>
    </mc:Choice>
  </mc:AlternateContent>
  <xr:revisionPtr revIDLastSave="0" documentId="13_ncr:1_{83780369-B846-40E4-B238-6F400EF23176}" xr6:coauthVersionLast="47" xr6:coauthVersionMax="47" xr10:uidLastSave="{00000000-0000-0000-0000-000000000000}"/>
  <bookViews>
    <workbookView xWindow="-120" yWindow="-120" windowWidth="29040" windowHeight="15840" tabRatio="963" xr2:uid="{00000000-000D-0000-FFFF-FFFF00000000}"/>
  </bookViews>
  <sheets>
    <sheet name="Dashboard" sheetId="1" r:id="rId1"/>
    <sheet name="Revenue" sheetId="2" r:id="rId2"/>
    <sheet name="Expenses" sheetId="3" r:id="rId3"/>
    <sheet name="Budget" sheetId="4" r:id="rId4"/>
    <sheet name="Monthly_Budget" sheetId="5" r:id="rId5"/>
    <sheet name="Variance" sheetId="6" r:id="rId6"/>
    <sheet name="CashFlow" sheetId="7" r:id="rId7"/>
    <sheet name="AR_Aging" sheetId="8" r:id="rId8"/>
    <sheet name="AP_Aging" sheetId="9" r:id="rId9"/>
    <sheet name="Working_Capital" sheetId="10" r:id="rId10"/>
    <sheet name="Profitability" sheetId="11" r:id="rId11"/>
    <sheet name="Forecast" sheetId="12" r:id="rId12"/>
    <sheet name="Scenarios" sheetId="13" r:id="rId13"/>
    <sheet name="Risk_Alerts" sheetId="14" r:id="rId14"/>
    <sheet name="Data_Quality" sheetId="15" r:id="rId15"/>
    <sheet name="Database_Design" sheetId="16" r:id="rId16"/>
    <sheet name="Formula_Guide" sheetId="17" r:id="rId17"/>
    <sheet name="Monthly_PnL" sheetId="18" r:id="rId18"/>
    <sheet name="HELPER TABLE" sheetId="19" r:id="rId19"/>
  </sheets>
  <definedNames>
    <definedName name="_xlnm._FilterDatabase" localSheetId="17" hidden="1">Monthly_PnL!$A$2:$L$14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9" l="1"/>
  <c r="P3" i="9" s="1"/>
  <c r="Q3" i="9" s="1"/>
  <c r="O4" i="9"/>
  <c r="P4" i="9" s="1"/>
  <c r="Q4" i="9" s="1"/>
  <c r="O5" i="9"/>
  <c r="P5" i="9" s="1"/>
  <c r="Q5" i="9" s="1"/>
  <c r="O6" i="9"/>
  <c r="P6" i="9" s="1"/>
  <c r="Q6" i="9" s="1"/>
  <c r="O7" i="9"/>
  <c r="P7" i="9" s="1"/>
  <c r="Q7" i="9" s="1"/>
  <c r="O8" i="9"/>
  <c r="P8" i="9" s="1"/>
  <c r="Q8" i="9" s="1"/>
  <c r="O9" i="9"/>
  <c r="P9" i="9" s="1"/>
  <c r="Q9" i="9" s="1"/>
  <c r="O10" i="9"/>
  <c r="P10" i="9" s="1"/>
  <c r="Q10" i="9" s="1"/>
  <c r="O11" i="9"/>
  <c r="P11" i="9" s="1"/>
  <c r="Q11" i="9" s="1"/>
  <c r="O12" i="9"/>
  <c r="P12" i="9" s="1"/>
  <c r="Q12" i="9" s="1"/>
  <c r="O13" i="9"/>
  <c r="P13" i="9" s="1"/>
  <c r="Q13" i="9" s="1"/>
  <c r="O14" i="9"/>
  <c r="P14" i="9" s="1"/>
  <c r="Q14" i="9" s="1"/>
  <c r="O15" i="9"/>
  <c r="P15" i="9" s="1"/>
  <c r="O16" i="9"/>
  <c r="P16" i="9" s="1"/>
  <c r="Q16" i="9" s="1"/>
  <c r="O17" i="9"/>
  <c r="P17" i="9" s="1"/>
  <c r="Q17" i="9" s="1"/>
  <c r="O18" i="9"/>
  <c r="P18" i="9" s="1"/>
  <c r="Q18" i="9" s="1"/>
  <c r="O19" i="9"/>
  <c r="P19" i="9" s="1"/>
  <c r="Q19" i="9" s="1"/>
  <c r="O20" i="9"/>
  <c r="P20" i="9" s="1"/>
  <c r="Q20" i="9" s="1"/>
  <c r="O21" i="9"/>
  <c r="P21" i="9" s="1"/>
  <c r="Q21" i="9" s="1"/>
  <c r="O22" i="9"/>
  <c r="P22" i="9" s="1"/>
  <c r="Q22" i="9" s="1"/>
  <c r="O23" i="9"/>
  <c r="P23" i="9" s="1"/>
  <c r="Q23" i="9" s="1"/>
  <c r="O24" i="9"/>
  <c r="P24" i="9" s="1"/>
  <c r="Q24" i="9" s="1"/>
  <c r="O25" i="9"/>
  <c r="P25" i="9" s="1"/>
  <c r="Q25" i="9" s="1"/>
  <c r="O26" i="9"/>
  <c r="P26" i="9" s="1"/>
  <c r="Q26" i="9" s="1"/>
  <c r="O27" i="9"/>
  <c r="P27" i="9" s="1"/>
  <c r="Q27" i="9" s="1"/>
  <c r="O28" i="9"/>
  <c r="P28" i="9" s="1"/>
  <c r="Q28" i="9" s="1"/>
  <c r="O29" i="9"/>
  <c r="P29" i="9" s="1"/>
  <c r="Q29" i="9" s="1"/>
  <c r="O30" i="9"/>
  <c r="P30" i="9" s="1"/>
  <c r="Q30" i="9" s="1"/>
  <c r="O31" i="9"/>
  <c r="P31" i="9" s="1"/>
  <c r="Q31" i="9" s="1"/>
  <c r="O32" i="9"/>
  <c r="P32" i="9" s="1"/>
  <c r="Q32" i="9" s="1"/>
  <c r="O33" i="9"/>
  <c r="P33" i="9" s="1"/>
  <c r="Q33" i="9" s="1"/>
  <c r="O34" i="9"/>
  <c r="P34" i="9" s="1"/>
  <c r="Q34" i="9" s="1"/>
  <c r="O35" i="9"/>
  <c r="P35" i="9" s="1"/>
  <c r="Q35" i="9" s="1"/>
  <c r="O36" i="9"/>
  <c r="P36" i="9" s="1"/>
  <c r="Q36" i="9" s="1"/>
  <c r="O37" i="9"/>
  <c r="P37" i="9" s="1"/>
  <c r="Q37" i="9" s="1"/>
  <c r="O38" i="9"/>
  <c r="P38" i="9" s="1"/>
  <c r="Q38" i="9" s="1"/>
  <c r="O39" i="9"/>
  <c r="P39" i="9" s="1"/>
  <c r="Q39" i="9" s="1"/>
  <c r="O40" i="9"/>
  <c r="P40" i="9" s="1"/>
  <c r="Q40" i="9" s="1"/>
  <c r="O41" i="9"/>
  <c r="P41" i="9" s="1"/>
  <c r="Q41" i="9" s="1"/>
  <c r="O42" i="9"/>
  <c r="P42" i="9" s="1"/>
  <c r="Q42" i="9" s="1"/>
  <c r="O43" i="9"/>
  <c r="P43" i="9" s="1"/>
  <c r="Q43" i="9" s="1"/>
  <c r="O44" i="9"/>
  <c r="P44" i="9" s="1"/>
  <c r="Q44" i="9" s="1"/>
  <c r="O45" i="9"/>
  <c r="P45" i="9" s="1"/>
  <c r="Q45" i="9" s="1"/>
  <c r="O46" i="9"/>
  <c r="P46" i="9" s="1"/>
  <c r="Q46" i="9" s="1"/>
  <c r="O47" i="9"/>
  <c r="P47" i="9" s="1"/>
  <c r="Q47" i="9" s="1"/>
  <c r="O48" i="9"/>
  <c r="P48" i="9" s="1"/>
  <c r="Q48" i="9" s="1"/>
  <c r="O49" i="9"/>
  <c r="P49" i="9" s="1"/>
  <c r="Q49" i="9" s="1"/>
  <c r="O2" i="9"/>
  <c r="N3" i="9"/>
  <c r="N4" i="9"/>
  <c r="N5" i="9"/>
  <c r="N6" i="9"/>
  <c r="N7" i="9"/>
  <c r="N8" i="9"/>
  <c r="N9" i="9"/>
  <c r="N10" i="9"/>
  <c r="N11" i="9"/>
  <c r="N12" i="9"/>
  <c r="N13" i="9"/>
  <c r="N14" i="9"/>
  <c r="N2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15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2" i="9"/>
  <c r="N3" i="8"/>
  <c r="N4" i="8"/>
  <c r="O4" i="8" s="1"/>
  <c r="P4" i="8" s="1"/>
  <c r="N5" i="8"/>
  <c r="O5" i="8" s="1"/>
  <c r="P5" i="8" s="1"/>
  <c r="N6" i="8"/>
  <c r="O6" i="8" s="1"/>
  <c r="P6" i="8" s="1"/>
  <c r="N7" i="8"/>
  <c r="O7" i="8" s="1"/>
  <c r="P7" i="8" s="1"/>
  <c r="N8" i="8"/>
  <c r="O8" i="8" s="1"/>
  <c r="P8" i="8" s="1"/>
  <c r="N9" i="8"/>
  <c r="O9" i="8" s="1"/>
  <c r="P9" i="8" s="1"/>
  <c r="N10" i="8"/>
  <c r="O10" i="8" s="1"/>
  <c r="P10" i="8" s="1"/>
  <c r="N11" i="8"/>
  <c r="O11" i="8" s="1"/>
  <c r="P11" i="8" s="1"/>
  <c r="N12" i="8"/>
  <c r="O12" i="8" s="1"/>
  <c r="P12" i="8" s="1"/>
  <c r="N13" i="8"/>
  <c r="O13" i="8" s="1"/>
  <c r="P13" i="8" s="1"/>
  <c r="N14" i="8"/>
  <c r="O14" i="8" s="1"/>
  <c r="P14" i="8" s="1"/>
  <c r="N15" i="8"/>
  <c r="O15" i="8" s="1"/>
  <c r="P15" i="8" s="1"/>
  <c r="N16" i="8"/>
  <c r="O16" i="8" s="1"/>
  <c r="P16" i="8" s="1"/>
  <c r="N17" i="8"/>
  <c r="O17" i="8" s="1"/>
  <c r="P17" i="8" s="1"/>
  <c r="N18" i="8"/>
  <c r="O18" i="8" s="1"/>
  <c r="P18" i="8" s="1"/>
  <c r="N19" i="8"/>
  <c r="O19" i="8" s="1"/>
  <c r="P19" i="8" s="1"/>
  <c r="N20" i="8"/>
  <c r="O20" i="8" s="1"/>
  <c r="P20" i="8" s="1"/>
  <c r="N21" i="8"/>
  <c r="O21" i="8" s="1"/>
  <c r="P21" i="8" s="1"/>
  <c r="N22" i="8"/>
  <c r="O22" i="8" s="1"/>
  <c r="P22" i="8" s="1"/>
  <c r="N23" i="8"/>
  <c r="O23" i="8" s="1"/>
  <c r="P23" i="8" s="1"/>
  <c r="N24" i="8"/>
  <c r="O24" i="8" s="1"/>
  <c r="P24" i="8" s="1"/>
  <c r="N25" i="8"/>
  <c r="O25" i="8" s="1"/>
  <c r="P25" i="8" s="1"/>
  <c r="N26" i="8"/>
  <c r="O26" i="8" s="1"/>
  <c r="P26" i="8" s="1"/>
  <c r="N27" i="8"/>
  <c r="O27" i="8" s="1"/>
  <c r="P27" i="8" s="1"/>
  <c r="N28" i="8"/>
  <c r="O28" i="8" s="1"/>
  <c r="P28" i="8" s="1"/>
  <c r="N29" i="8"/>
  <c r="O29" i="8" s="1"/>
  <c r="P29" i="8" s="1"/>
  <c r="N30" i="8"/>
  <c r="O30" i="8" s="1"/>
  <c r="N31" i="8"/>
  <c r="O31" i="8" s="1"/>
  <c r="P31" i="8" s="1"/>
  <c r="N32" i="8"/>
  <c r="O32" i="8" s="1"/>
  <c r="P32" i="8" s="1"/>
  <c r="N33" i="8"/>
  <c r="O33" i="8" s="1"/>
  <c r="P33" i="8" s="1"/>
  <c r="N34" i="8"/>
  <c r="O34" i="8" s="1"/>
  <c r="P34" i="8" s="1"/>
  <c r="N35" i="8"/>
  <c r="O35" i="8" s="1"/>
  <c r="P35" i="8" s="1"/>
  <c r="N36" i="8"/>
  <c r="O36" i="8" s="1"/>
  <c r="P36" i="8" s="1"/>
  <c r="N37" i="8"/>
  <c r="O37" i="8" s="1"/>
  <c r="P37" i="8" s="1"/>
  <c r="N38" i="8"/>
  <c r="O38" i="8" s="1"/>
  <c r="P38" i="8" s="1"/>
  <c r="N39" i="8"/>
  <c r="O39" i="8" s="1"/>
  <c r="P39" i="8" s="1"/>
  <c r="N40" i="8"/>
  <c r="O40" i="8" s="1"/>
  <c r="P40" i="8" s="1"/>
  <c r="N41" i="8"/>
  <c r="O41" i="8" s="1"/>
  <c r="P41" i="8" s="1"/>
  <c r="N42" i="8"/>
  <c r="O42" i="8" s="1"/>
  <c r="P42" i="8" s="1"/>
  <c r="N43" i="8"/>
  <c r="O43" i="8" s="1"/>
  <c r="P43" i="8" s="1"/>
  <c r="N44" i="8"/>
  <c r="O44" i="8" s="1"/>
  <c r="P44" i="8" s="1"/>
  <c r="N45" i="8"/>
  <c r="O45" i="8" s="1"/>
  <c r="P45" i="8" s="1"/>
  <c r="N46" i="8"/>
  <c r="O46" i="8" s="1"/>
  <c r="P46" i="8" s="1"/>
  <c r="N47" i="8"/>
  <c r="O47" i="8" s="1"/>
  <c r="P47" i="8" s="1"/>
  <c r="N48" i="8"/>
  <c r="O48" i="8" s="1"/>
  <c r="P48" i="8" s="1"/>
  <c r="N49" i="8"/>
  <c r="O49" i="8" s="1"/>
  <c r="P49" i="8" s="1"/>
  <c r="N50" i="8"/>
  <c r="O50" i="8" s="1"/>
  <c r="P50" i="8" s="1"/>
  <c r="N51" i="8"/>
  <c r="O51" i="8" s="1"/>
  <c r="P51" i="8" s="1"/>
  <c r="N52" i="8"/>
  <c r="O52" i="8" s="1"/>
  <c r="P52" i="8" s="1"/>
  <c r="N53" i="8"/>
  <c r="O53" i="8" s="1"/>
  <c r="P53" i="8" s="1"/>
  <c r="N54" i="8"/>
  <c r="O54" i="8" s="1"/>
  <c r="P54" i="8" s="1"/>
  <c r="N55" i="8"/>
  <c r="O55" i="8" s="1"/>
  <c r="P55" i="8" s="1"/>
  <c r="N56" i="8"/>
  <c r="O56" i="8" s="1"/>
  <c r="P56" i="8" s="1"/>
  <c r="N57" i="8"/>
  <c r="O57" i="8" s="1"/>
  <c r="P57" i="8" s="1"/>
  <c r="N58" i="8"/>
  <c r="O58" i="8" s="1"/>
  <c r="P58" i="8" s="1"/>
  <c r="N59" i="8"/>
  <c r="O59" i="8" s="1"/>
  <c r="P59" i="8" s="1"/>
  <c r="N60" i="8"/>
  <c r="O60" i="8" s="1"/>
  <c r="P60" i="8" s="1"/>
  <c r="N61" i="8"/>
  <c r="O61" i="8" s="1"/>
  <c r="P61" i="8" s="1"/>
  <c r="N2" i="8"/>
  <c r="O2" i="8" s="1"/>
  <c r="P2" i="8" s="1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2" i="8"/>
  <c r="L3" i="7"/>
  <c r="C23" i="19" s="1"/>
  <c r="L4" i="7"/>
  <c r="C24" i="19" s="1"/>
  <c r="L5" i="7"/>
  <c r="C25" i="19" s="1"/>
  <c r="L6" i="7"/>
  <c r="C26" i="19" s="1"/>
  <c r="L7" i="7"/>
  <c r="C27" i="19" s="1"/>
  <c r="L8" i="7"/>
  <c r="C28" i="19" s="1"/>
  <c r="L9" i="7"/>
  <c r="C29" i="19" s="1"/>
  <c r="L10" i="7"/>
  <c r="C30" i="19" s="1"/>
  <c r="L11" i="7"/>
  <c r="C31" i="19" s="1"/>
  <c r="L12" i="7"/>
  <c r="C32" i="19" s="1"/>
  <c r="L13" i="7"/>
  <c r="C33" i="19" s="1"/>
  <c r="L2" i="7"/>
  <c r="C22" i="19" s="1"/>
  <c r="F57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2" i="6"/>
  <c r="I3" i="3"/>
  <c r="I2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A14" i="18"/>
  <c r="A13" i="18"/>
  <c r="A12" i="18"/>
  <c r="A11" i="18"/>
  <c r="A10" i="18"/>
  <c r="A9" i="18"/>
  <c r="A8" i="18"/>
  <c r="A7" i="18"/>
  <c r="A6" i="18"/>
  <c r="A5" i="18"/>
  <c r="A4" i="18"/>
  <c r="A3" i="18"/>
  <c r="F14" i="10"/>
  <c r="C14" i="10"/>
  <c r="A14" i="10"/>
  <c r="F13" i="10"/>
  <c r="C13" i="10"/>
  <c r="A13" i="10"/>
  <c r="F12" i="10"/>
  <c r="C12" i="10"/>
  <c r="A12" i="10"/>
  <c r="F11" i="10"/>
  <c r="C11" i="10"/>
  <c r="A11" i="10"/>
  <c r="F10" i="10"/>
  <c r="C10" i="10"/>
  <c r="A10" i="10"/>
  <c r="F9" i="10"/>
  <c r="C9" i="10"/>
  <c r="A9" i="10"/>
  <c r="F8" i="10"/>
  <c r="C8" i="10"/>
  <c r="A8" i="10"/>
  <c r="F7" i="10"/>
  <c r="C7" i="10"/>
  <c r="A7" i="10"/>
  <c r="F6" i="10"/>
  <c r="C6" i="10"/>
  <c r="A6" i="10"/>
  <c r="F5" i="10"/>
  <c r="C5" i="10"/>
  <c r="A5" i="10"/>
  <c r="F4" i="10"/>
  <c r="C4" i="10"/>
  <c r="A4" i="10"/>
  <c r="F3" i="10"/>
  <c r="C3" i="10"/>
  <c r="A3" i="10"/>
  <c r="F7" i="4"/>
  <c r="G7" i="4" s="1"/>
  <c r="D7" i="4"/>
  <c r="F6" i="4"/>
  <c r="G6" i="4" s="1"/>
  <c r="D6" i="4"/>
  <c r="F5" i="4"/>
  <c r="G5" i="4" s="1"/>
  <c r="D5" i="4"/>
  <c r="F4" i="4"/>
  <c r="G4" i="4" s="1"/>
  <c r="D4" i="4"/>
  <c r="F3" i="4"/>
  <c r="G3" i="4" s="1"/>
  <c r="D3" i="4"/>
  <c r="F2" i="4"/>
  <c r="G2" i="4" s="1"/>
  <c r="D2" i="4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7" i="2"/>
  <c r="I37" i="2"/>
  <c r="H37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J2" i="2"/>
  <c r="I2" i="2"/>
  <c r="H2" i="2"/>
  <c r="R32" i="1"/>
  <c r="Q32" i="1"/>
  <c r="P32" i="1"/>
  <c r="R31" i="1"/>
  <c r="Q31" i="1"/>
  <c r="P31" i="1"/>
  <c r="R30" i="1"/>
  <c r="Q30" i="1"/>
  <c r="P30" i="1"/>
  <c r="R29" i="1"/>
  <c r="Q29" i="1"/>
  <c r="P29" i="1"/>
  <c r="R28" i="1"/>
  <c r="Q28" i="1"/>
  <c r="P28" i="1"/>
  <c r="L21" i="1"/>
  <c r="M21" i="1" s="1"/>
  <c r="R27" i="1"/>
  <c r="Q27" i="1"/>
  <c r="P27" i="1"/>
  <c r="Q26" i="1"/>
  <c r="L19" i="1"/>
  <c r="M19" i="1" s="1"/>
  <c r="Q25" i="1"/>
  <c r="Q24" i="1"/>
  <c r="Q23" i="1"/>
  <c r="Q22" i="1"/>
  <c r="Q21" i="1"/>
  <c r="I21" i="1"/>
  <c r="H21" i="1"/>
  <c r="G21" i="1"/>
  <c r="F21" i="1"/>
  <c r="Q20" i="1"/>
  <c r="I20" i="1"/>
  <c r="H20" i="1"/>
  <c r="G20" i="1"/>
  <c r="F20" i="1"/>
  <c r="Q19" i="1"/>
  <c r="I19" i="1"/>
  <c r="H19" i="1"/>
  <c r="G19" i="1"/>
  <c r="F19" i="1"/>
  <c r="U14" i="1"/>
  <c r="P14" i="1"/>
  <c r="U13" i="1"/>
  <c r="P13" i="1"/>
  <c r="H13" i="1"/>
  <c r="E13" i="1"/>
  <c r="U12" i="1"/>
  <c r="P12" i="1"/>
  <c r="U11" i="1"/>
  <c r="P11" i="1"/>
  <c r="U10" i="1"/>
  <c r="P10" i="1"/>
  <c r="U9" i="1"/>
  <c r="P9" i="1"/>
  <c r="U8" i="1"/>
  <c r="P8" i="1"/>
  <c r="U7" i="1"/>
  <c r="P7" i="1"/>
  <c r="U6" i="1"/>
  <c r="P6" i="1"/>
  <c r="U5" i="1"/>
  <c r="P5" i="1"/>
  <c r="U4" i="1"/>
  <c r="P4" i="1"/>
  <c r="U3" i="1"/>
  <c r="P3" i="1"/>
  <c r="B14" i="10" l="1"/>
  <c r="B13" i="10"/>
  <c r="B12" i="10"/>
  <c r="B11" i="10"/>
  <c r="B10" i="10"/>
  <c r="B9" i="10"/>
  <c r="B8" i="10"/>
  <c r="B7" i="10"/>
  <c r="B6" i="10"/>
  <c r="B5" i="10"/>
  <c r="B4" i="10"/>
  <c r="B3" i="10"/>
  <c r="P2" i="9"/>
  <c r="Q2" i="9" s="1"/>
  <c r="B53" i="9"/>
  <c r="O3" i="8"/>
  <c r="P3" i="8" s="1"/>
  <c r="Q3" i="8" s="1"/>
  <c r="B65" i="8"/>
  <c r="Q15" i="9"/>
  <c r="B54" i="9"/>
  <c r="P30" i="8"/>
  <c r="B66" i="8"/>
  <c r="R31" i="9"/>
  <c r="Q6" i="8"/>
  <c r="S6" i="8"/>
  <c r="R6" i="8"/>
  <c r="E14" i="18"/>
  <c r="G15" i="19" s="1"/>
  <c r="B14" i="18"/>
  <c r="E13" i="18"/>
  <c r="G14" i="19" s="1"/>
  <c r="B13" i="18"/>
  <c r="E12" i="18"/>
  <c r="G13" i="19" s="1"/>
  <c r="B12" i="18"/>
  <c r="E11" i="18"/>
  <c r="G12" i="19" s="1"/>
  <c r="B11" i="18"/>
  <c r="E10" i="18"/>
  <c r="G11" i="19" s="1"/>
  <c r="B10" i="18"/>
  <c r="E9" i="18"/>
  <c r="G10" i="19" s="1"/>
  <c r="B9" i="18"/>
  <c r="E8" i="18"/>
  <c r="G9" i="19" s="1"/>
  <c r="B8" i="18"/>
  <c r="E7" i="18"/>
  <c r="G8" i="19" s="1"/>
  <c r="B7" i="18"/>
  <c r="E6" i="18"/>
  <c r="G7" i="19" s="1"/>
  <c r="B6" i="18"/>
  <c r="E5" i="18"/>
  <c r="G6" i="19" s="1"/>
  <c r="B5" i="18"/>
  <c r="E4" i="18"/>
  <c r="G5" i="19" s="1"/>
  <c r="B4" i="18"/>
  <c r="E3" i="18"/>
  <c r="G4" i="19" s="1"/>
  <c r="B3" i="18"/>
  <c r="R49" i="9"/>
  <c r="R48" i="9"/>
  <c r="T48" i="9" s="1"/>
  <c r="S48" i="9"/>
  <c r="R47" i="9"/>
  <c r="T47" i="9"/>
  <c r="S47" i="9"/>
  <c r="R46" i="9"/>
  <c r="R45" i="9"/>
  <c r="R44" i="9"/>
  <c r="R43" i="9"/>
  <c r="R42" i="9"/>
  <c r="R41" i="9"/>
  <c r="T41" i="9"/>
  <c r="S41" i="9"/>
  <c r="R40" i="9"/>
  <c r="R39" i="9"/>
  <c r="R38" i="9"/>
  <c r="R37" i="9"/>
  <c r="R36" i="9"/>
  <c r="R35" i="9"/>
  <c r="R34" i="9"/>
  <c r="R33" i="9"/>
  <c r="R32" i="9"/>
  <c r="R30" i="9"/>
  <c r="R29" i="9"/>
  <c r="R28" i="9"/>
  <c r="T28" i="9"/>
  <c r="S28" i="9"/>
  <c r="R27" i="9"/>
  <c r="R26" i="9"/>
  <c r="R25" i="9"/>
  <c r="R24" i="9"/>
  <c r="R23" i="9"/>
  <c r="T23" i="9" s="1"/>
  <c r="S23" i="9"/>
  <c r="R22" i="9"/>
  <c r="R21" i="9"/>
  <c r="R20" i="9"/>
  <c r="R19" i="9"/>
  <c r="T19" i="9"/>
  <c r="S19" i="9"/>
  <c r="R18" i="9"/>
  <c r="S18" i="9"/>
  <c r="T18" i="9"/>
  <c r="R17" i="9"/>
  <c r="T17" i="9"/>
  <c r="S17" i="9"/>
  <c r="R16" i="9"/>
  <c r="T16" i="9"/>
  <c r="S16" i="9"/>
  <c r="R14" i="9"/>
  <c r="R13" i="9"/>
  <c r="R12" i="9"/>
  <c r="R11" i="9"/>
  <c r="S11" i="9"/>
  <c r="T11" i="9"/>
  <c r="R10" i="9"/>
  <c r="R9" i="9"/>
  <c r="R8" i="9"/>
  <c r="R7" i="9"/>
  <c r="R6" i="9"/>
  <c r="R5" i="9"/>
  <c r="T5" i="9"/>
  <c r="S5" i="9"/>
  <c r="R4" i="9"/>
  <c r="S4" i="9"/>
  <c r="T4" i="9"/>
  <c r="R3" i="9"/>
  <c r="S3" i="9"/>
  <c r="T3" i="9"/>
  <c r="Q61" i="8"/>
  <c r="Q60" i="8"/>
  <c r="Q59" i="8"/>
  <c r="Q58" i="8"/>
  <c r="Q57" i="8"/>
  <c r="Q56" i="8"/>
  <c r="Q55" i="8"/>
  <c r="Q54" i="8"/>
  <c r="R54" i="8" s="1"/>
  <c r="S54" i="8"/>
  <c r="Q53" i="8"/>
  <c r="Q52" i="8"/>
  <c r="Q51" i="8"/>
  <c r="Q50" i="8"/>
  <c r="Q49" i="8"/>
  <c r="Q48" i="8"/>
  <c r="Q47" i="8"/>
  <c r="Q46" i="8"/>
  <c r="Q45" i="8"/>
  <c r="Q44" i="8"/>
  <c r="R44" i="8" s="1"/>
  <c r="S44" i="8"/>
  <c r="Q43" i="8"/>
  <c r="R43" i="8" s="1"/>
  <c r="S43" i="8"/>
  <c r="Q42" i="8"/>
  <c r="R42" i="8"/>
  <c r="S42" i="8"/>
  <c r="Q41" i="8"/>
  <c r="Q40" i="8"/>
  <c r="Q39" i="8"/>
  <c r="Q38" i="8"/>
  <c r="Q37" i="8"/>
  <c r="Q36" i="8"/>
  <c r="Q35" i="8"/>
  <c r="R35" i="8" s="1"/>
  <c r="S35" i="8"/>
  <c r="Q34" i="8"/>
  <c r="R34" i="8" s="1"/>
  <c r="S34" i="8"/>
  <c r="Q33" i="8"/>
  <c r="Q32" i="8"/>
  <c r="Q31" i="8"/>
  <c r="Q29" i="8"/>
  <c r="Q28" i="8"/>
  <c r="Q27" i="8"/>
  <c r="R27" i="8" s="1"/>
  <c r="S27" i="8"/>
  <c r="Q26" i="8"/>
  <c r="R26" i="8"/>
  <c r="S26" i="8"/>
  <c r="Q25" i="8"/>
  <c r="R25" i="8"/>
  <c r="S25" i="8"/>
  <c r="Q24" i="8"/>
  <c r="R24" i="8"/>
  <c r="S24" i="8"/>
  <c r="Q23" i="8"/>
  <c r="Q22" i="8"/>
  <c r="Q21" i="8"/>
  <c r="Q20" i="8"/>
  <c r="R20" i="8" s="1"/>
  <c r="S20" i="8"/>
  <c r="Q19" i="8"/>
  <c r="Q18" i="8"/>
  <c r="S18" i="8" s="1"/>
  <c r="R18" i="8"/>
  <c r="Q17" i="8"/>
  <c r="Q16" i="8"/>
  <c r="R16" i="8" s="1"/>
  <c r="S16" i="8"/>
  <c r="Q15" i="8"/>
  <c r="Q14" i="8"/>
  <c r="S14" i="8"/>
  <c r="R14" i="8"/>
  <c r="Q13" i="8"/>
  <c r="Q12" i="8"/>
  <c r="Q11" i="8"/>
  <c r="R11" i="8" s="1"/>
  <c r="S11" i="8"/>
  <c r="Q10" i="8"/>
  <c r="Q9" i="8"/>
  <c r="Q8" i="8"/>
  <c r="Q7" i="8"/>
  <c r="Q5" i="8"/>
  <c r="Q4" i="8"/>
  <c r="Q2" i="8"/>
  <c r="B13" i="1"/>
  <c r="B6" i="1"/>
  <c r="C15" i="19" l="1"/>
  <c r="F15" i="19"/>
  <c r="C14" i="19"/>
  <c r="F14" i="19"/>
  <c r="C13" i="19"/>
  <c r="F13" i="19"/>
  <c r="C12" i="19"/>
  <c r="F12" i="19"/>
  <c r="C11" i="19"/>
  <c r="F11" i="19"/>
  <c r="C10" i="19"/>
  <c r="F10" i="19"/>
  <c r="C9" i="19"/>
  <c r="F9" i="19"/>
  <c r="C8" i="19"/>
  <c r="F8" i="19"/>
  <c r="C7" i="19"/>
  <c r="F7" i="19"/>
  <c r="C6" i="19"/>
  <c r="F6" i="19"/>
  <c r="C5" i="19"/>
  <c r="F5" i="19"/>
  <c r="C4" i="19"/>
  <c r="F4" i="19"/>
  <c r="R14" i="1"/>
  <c r="R13" i="1"/>
  <c r="R12" i="1"/>
  <c r="R11" i="1"/>
  <c r="R10" i="1"/>
  <c r="R9" i="1"/>
  <c r="R8" i="1"/>
  <c r="R7" i="1"/>
  <c r="R6" i="1"/>
  <c r="R5" i="1"/>
  <c r="R4" i="1"/>
  <c r="D14" i="10"/>
  <c r="E14" i="10"/>
  <c r="H14" i="10" s="1"/>
  <c r="G14" i="10"/>
  <c r="E9" i="1"/>
  <c r="D13" i="10"/>
  <c r="E13" i="10"/>
  <c r="H13" i="10" s="1"/>
  <c r="G13" i="10"/>
  <c r="D12" i="10"/>
  <c r="E12" i="10"/>
  <c r="H12" i="10" s="1"/>
  <c r="G12" i="10"/>
  <c r="D11" i="10"/>
  <c r="E11" i="10"/>
  <c r="H11" i="10" s="1"/>
  <c r="G11" i="10"/>
  <c r="D10" i="10"/>
  <c r="E10" i="10"/>
  <c r="H10" i="10" s="1"/>
  <c r="G10" i="10"/>
  <c r="G9" i="10"/>
  <c r="D9" i="10"/>
  <c r="E9" i="10"/>
  <c r="H9" i="10" s="1"/>
  <c r="D8" i="10"/>
  <c r="E8" i="10"/>
  <c r="H8" i="10" s="1"/>
  <c r="G8" i="10"/>
  <c r="D7" i="10"/>
  <c r="E7" i="10"/>
  <c r="H7" i="10" s="1"/>
  <c r="G7" i="10"/>
  <c r="D6" i="10"/>
  <c r="E6" i="10"/>
  <c r="H6" i="10" s="1"/>
  <c r="G6" i="10"/>
  <c r="D5" i="10"/>
  <c r="E5" i="10"/>
  <c r="H5" i="10" s="1"/>
  <c r="G5" i="10"/>
  <c r="D4" i="10"/>
  <c r="E4" i="10"/>
  <c r="H4" i="10" s="1"/>
  <c r="G4" i="10"/>
  <c r="D3" i="10"/>
  <c r="E3" i="10"/>
  <c r="H3" i="10" s="1"/>
  <c r="G3" i="10"/>
  <c r="S2" i="9"/>
  <c r="T2" i="9"/>
  <c r="R2" i="9"/>
  <c r="S12" i="9"/>
  <c r="T12" i="9"/>
  <c r="B55" i="9"/>
  <c r="R15" i="9"/>
  <c r="T20" i="9"/>
  <c r="S20" i="9"/>
  <c r="T13" i="9"/>
  <c r="S13" i="9"/>
  <c r="T31" i="9"/>
  <c r="S31" i="9"/>
  <c r="T49" i="9"/>
  <c r="S49" i="9"/>
  <c r="S46" i="9"/>
  <c r="T46" i="9"/>
  <c r="S45" i="9"/>
  <c r="T45" i="9"/>
  <c r="T44" i="9"/>
  <c r="S44" i="9"/>
  <c r="T43" i="9"/>
  <c r="S43" i="9"/>
  <c r="S42" i="9"/>
  <c r="T42" i="9"/>
  <c r="T40" i="9"/>
  <c r="S40" i="9"/>
  <c r="T39" i="9"/>
  <c r="S39" i="9"/>
  <c r="S38" i="9"/>
  <c r="T38" i="9"/>
  <c r="T37" i="9"/>
  <c r="S37" i="9"/>
  <c r="S36" i="9"/>
  <c r="T36" i="9"/>
  <c r="T35" i="9"/>
  <c r="S35" i="9"/>
  <c r="S34" i="9"/>
  <c r="T34" i="9"/>
  <c r="S33" i="9"/>
  <c r="T33" i="9"/>
  <c r="T32" i="9"/>
  <c r="S32" i="9"/>
  <c r="T30" i="9"/>
  <c r="S30" i="9"/>
  <c r="T29" i="9"/>
  <c r="S29" i="9"/>
  <c r="S27" i="9"/>
  <c r="T27" i="9"/>
  <c r="T26" i="9"/>
  <c r="S26" i="9"/>
  <c r="S25" i="9"/>
  <c r="T25" i="9"/>
  <c r="T24" i="9"/>
  <c r="S24" i="9"/>
  <c r="S22" i="9"/>
  <c r="T22" i="9"/>
  <c r="T21" i="9"/>
  <c r="S21" i="9"/>
  <c r="T15" i="9"/>
  <c r="S15" i="9"/>
  <c r="S14" i="9"/>
  <c r="T14" i="9"/>
  <c r="S10" i="9"/>
  <c r="T10" i="9"/>
  <c r="T9" i="9"/>
  <c r="S9" i="9"/>
  <c r="T8" i="9"/>
  <c r="S8" i="9"/>
  <c r="S7" i="9"/>
  <c r="T7" i="9"/>
  <c r="T6" i="9"/>
  <c r="S6" i="9"/>
  <c r="Q30" i="8"/>
  <c r="R30" i="8" s="1"/>
  <c r="S30" i="8"/>
  <c r="B67" i="8"/>
  <c r="S8" i="8"/>
  <c r="R8" i="8"/>
  <c r="R61" i="8"/>
  <c r="S61" i="8"/>
  <c r="S56" i="8"/>
  <c r="R56" i="8"/>
  <c r="R50" i="8"/>
  <c r="S50" i="8"/>
  <c r="S48" i="8"/>
  <c r="R48" i="8"/>
  <c r="R41" i="8"/>
  <c r="S41" i="8"/>
  <c r="R33" i="8"/>
  <c r="S33" i="8"/>
  <c r="R31" i="8"/>
  <c r="S31" i="8"/>
  <c r="R3" i="8"/>
  <c r="S3" i="8"/>
  <c r="S60" i="8"/>
  <c r="R60" i="8"/>
  <c r="S59" i="8"/>
  <c r="R59" i="8"/>
  <c r="S58" i="8"/>
  <c r="R58" i="8"/>
  <c r="S57" i="8"/>
  <c r="R57" i="8"/>
  <c r="S55" i="8"/>
  <c r="R55" i="8"/>
  <c r="S53" i="8"/>
  <c r="R53" i="8"/>
  <c r="S52" i="8"/>
  <c r="R52" i="8"/>
  <c r="S51" i="8"/>
  <c r="R51" i="8"/>
  <c r="R49" i="8"/>
  <c r="S49" i="8"/>
  <c r="S47" i="8"/>
  <c r="R47" i="8"/>
  <c r="S46" i="8"/>
  <c r="R46" i="8"/>
  <c r="S45" i="8"/>
  <c r="R45" i="8"/>
  <c r="S40" i="8"/>
  <c r="R40" i="8"/>
  <c r="S39" i="8"/>
  <c r="R39" i="8"/>
  <c r="S38" i="8"/>
  <c r="R38" i="8"/>
  <c r="S37" i="8"/>
  <c r="R37" i="8"/>
  <c r="S36" i="8"/>
  <c r="R36" i="8"/>
  <c r="R32" i="8"/>
  <c r="S32" i="8"/>
  <c r="S29" i="8"/>
  <c r="R29" i="8"/>
  <c r="S28" i="8"/>
  <c r="R28" i="8"/>
  <c r="S23" i="8"/>
  <c r="R23" i="8"/>
  <c r="R22" i="8"/>
  <c r="S22" i="8"/>
  <c r="S21" i="8"/>
  <c r="R21" i="8"/>
  <c r="R19" i="8"/>
  <c r="S19" i="8"/>
  <c r="R17" i="8"/>
  <c r="S17" i="8"/>
  <c r="S15" i="8"/>
  <c r="R15" i="8"/>
  <c r="S13" i="8"/>
  <c r="R13" i="8"/>
  <c r="S12" i="8"/>
  <c r="R12" i="8"/>
  <c r="S10" i="8"/>
  <c r="R10" i="8"/>
  <c r="S9" i="8"/>
  <c r="R9" i="8"/>
  <c r="S7" i="8"/>
  <c r="R7" i="8"/>
  <c r="S5" i="8"/>
  <c r="R5" i="8"/>
  <c r="S4" i="8"/>
  <c r="R4" i="8"/>
  <c r="S2" i="8"/>
  <c r="R2" i="8"/>
  <c r="C14" i="18"/>
  <c r="D14" i="18" s="1"/>
  <c r="G14" i="18"/>
  <c r="Q14" i="1"/>
  <c r="C13" i="18"/>
  <c r="D13" i="18" s="1"/>
  <c r="G13" i="18"/>
  <c r="Q13" i="1"/>
  <c r="C12" i="18"/>
  <c r="D12" i="18" s="1"/>
  <c r="G12" i="18"/>
  <c r="Q12" i="1"/>
  <c r="C11" i="18"/>
  <c r="D11" i="18"/>
  <c r="G11" i="18"/>
  <c r="Q11" i="1"/>
  <c r="C10" i="18"/>
  <c r="D10" i="18"/>
  <c r="G10" i="18"/>
  <c r="Q10" i="1"/>
  <c r="C9" i="18"/>
  <c r="D9" i="18" s="1"/>
  <c r="G9" i="18"/>
  <c r="Q9" i="1"/>
  <c r="C8" i="18"/>
  <c r="D8" i="18"/>
  <c r="G8" i="18"/>
  <c r="Q8" i="1"/>
  <c r="C7" i="18"/>
  <c r="D7" i="18"/>
  <c r="G7" i="18"/>
  <c r="Q7" i="1"/>
  <c r="C6" i="18"/>
  <c r="D6" i="18" s="1"/>
  <c r="G6" i="18"/>
  <c r="Q6" i="1"/>
  <c r="C5" i="18"/>
  <c r="D5" i="18"/>
  <c r="G5" i="18"/>
  <c r="Q5" i="1"/>
  <c r="C4" i="18"/>
  <c r="D4" i="18"/>
  <c r="G4" i="18"/>
  <c r="Q4" i="1"/>
  <c r="R3" i="1"/>
  <c r="J3" i="10"/>
  <c r="J4" i="10"/>
  <c r="J5" i="10"/>
  <c r="J6" i="10"/>
  <c r="J7" i="10"/>
  <c r="J8" i="10"/>
  <c r="J9" i="10"/>
  <c r="J10" i="10"/>
  <c r="J11" i="10"/>
  <c r="J12" i="10"/>
  <c r="J13" i="10"/>
  <c r="J14" i="10"/>
  <c r="C3" i="18"/>
  <c r="D3" i="18" s="1"/>
  <c r="G3" i="18"/>
  <c r="Q3" i="1"/>
  <c r="D19" i="1"/>
  <c r="I3" i="10"/>
  <c r="I4" i="10"/>
  <c r="I5" i="10"/>
  <c r="I6" i="10"/>
  <c r="I7" i="10"/>
  <c r="I8" i="10"/>
  <c r="I9" i="10"/>
  <c r="I10" i="10"/>
  <c r="I11" i="10"/>
  <c r="I12" i="10"/>
  <c r="I13" i="10"/>
  <c r="I14" i="10"/>
  <c r="B9" i="1"/>
  <c r="B19" i="1"/>
  <c r="C19" i="1"/>
  <c r="L20" i="1" l="1"/>
  <c r="M20" i="1" s="1"/>
  <c r="K13" i="1"/>
  <c r="B56" i="9"/>
  <c r="B57" i="9"/>
  <c r="B58" i="9"/>
  <c r="B59" i="9"/>
  <c r="B70" i="8"/>
  <c r="B69" i="8"/>
  <c r="B68" i="8"/>
  <c r="B71" i="8"/>
  <c r="F14" i="18"/>
  <c r="K14" i="18"/>
  <c r="F13" i="18"/>
  <c r="K13" i="18"/>
  <c r="F12" i="18"/>
  <c r="K12" i="18"/>
  <c r="F11" i="18"/>
  <c r="K11" i="18"/>
  <c r="F10" i="18"/>
  <c r="K10" i="18"/>
  <c r="F9" i="18"/>
  <c r="K9" i="18"/>
  <c r="F8" i="18"/>
  <c r="K8" i="18"/>
  <c r="F7" i="18"/>
  <c r="K7" i="18"/>
  <c r="F6" i="18"/>
  <c r="K6" i="18"/>
  <c r="F5" i="18"/>
  <c r="K5" i="18"/>
  <c r="F4" i="18"/>
  <c r="K4" i="18"/>
  <c r="F3" i="18"/>
  <c r="K3" i="18"/>
  <c r="H14" i="18" l="1"/>
  <c r="S14" i="1"/>
  <c r="H13" i="18"/>
  <c r="S13" i="1"/>
  <c r="H12" i="18"/>
  <c r="S12" i="1"/>
  <c r="H11" i="18"/>
  <c r="S11" i="1"/>
  <c r="H10" i="18"/>
  <c r="S10" i="1"/>
  <c r="H9" i="18"/>
  <c r="S9" i="1"/>
  <c r="H8" i="18"/>
  <c r="S8" i="1"/>
  <c r="H7" i="18"/>
  <c r="S7" i="1"/>
  <c r="H6" i="18"/>
  <c r="S6" i="1"/>
  <c r="H5" i="18"/>
  <c r="S5" i="1"/>
  <c r="H4" i="18"/>
  <c r="S4" i="1"/>
  <c r="C20" i="1"/>
  <c r="H9" i="1"/>
  <c r="B20" i="1"/>
  <c r="H3" i="18"/>
  <c r="K4" i="19" s="1"/>
  <c r="S3" i="1"/>
  <c r="D20" i="1"/>
  <c r="I14" i="18" l="1"/>
  <c r="J14" i="18" s="1"/>
  <c r="I13" i="18"/>
  <c r="J13" i="18" s="1"/>
  <c r="I12" i="18"/>
  <c r="J12" i="18" s="1"/>
  <c r="I11" i="18"/>
  <c r="J11" i="18" s="1"/>
  <c r="I10" i="18"/>
  <c r="J10" i="18" s="1"/>
  <c r="I9" i="18"/>
  <c r="J9" i="18" s="1"/>
  <c r="I8" i="18"/>
  <c r="J8" i="18" s="1"/>
  <c r="I7" i="18"/>
  <c r="J7" i="18" s="1"/>
  <c r="I6" i="18"/>
  <c r="J6" i="18" s="1"/>
  <c r="I5" i="18"/>
  <c r="J5" i="18" s="1"/>
  <c r="I4" i="18"/>
  <c r="J4" i="18" s="1"/>
  <c r="I3" i="18"/>
  <c r="J3" i="18" s="1"/>
  <c r="L14" i="18" l="1"/>
  <c r="T14" i="1"/>
  <c r="L13" i="18"/>
  <c r="T13" i="1"/>
  <c r="L12" i="18"/>
  <c r="T12" i="1"/>
  <c r="L11" i="18"/>
  <c r="T11" i="1"/>
  <c r="L10" i="18"/>
  <c r="T10" i="1"/>
  <c r="L9" i="18"/>
  <c r="T9" i="1"/>
  <c r="L8" i="18"/>
  <c r="T8" i="1"/>
  <c r="L7" i="18"/>
  <c r="T7" i="1"/>
  <c r="L6" i="18"/>
  <c r="T6" i="1"/>
  <c r="L5" i="18"/>
  <c r="T5" i="1"/>
  <c r="L4" i="18"/>
  <c r="T4" i="1"/>
  <c r="K9" i="1"/>
  <c r="C21" i="1"/>
  <c r="B21" i="1"/>
  <c r="L3" i="18"/>
  <c r="T3" i="1"/>
  <c r="D21" i="1"/>
  <c r="L22" i="1" l="1"/>
  <c r="M22" i="1" s="1"/>
</calcChain>
</file>

<file path=xl/sharedStrings.xml><?xml version="1.0" encoding="utf-8"?>
<sst xmlns="http://schemas.openxmlformats.org/spreadsheetml/2006/main" count="1772" uniqueCount="549">
  <si>
    <t>FIN-W5-ENTERPRISE-05 | AUTOMATED FP&amp;A EXECUTIVE DASHBOARD</t>
  </si>
  <si>
    <t>Month</t>
  </si>
  <si>
    <t>Revenue</t>
  </si>
  <si>
    <t>Expenses</t>
  </si>
  <si>
    <t>EBITDA</t>
  </si>
  <si>
    <t>Net Profit</t>
  </si>
  <si>
    <t>Cash</t>
  </si>
  <si>
    <t>AUTOMATION CONTROLS</t>
  </si>
  <si>
    <t>Selected Month</t>
  </si>
  <si>
    <t>Change the Month or Scenario dropdown. KPIs, alerts, comparisons and charts are formula-linked and recalculate automatically.</t>
  </si>
  <si>
    <t>Scenario</t>
  </si>
  <si>
    <t>Base</t>
  </si>
  <si>
    <t>As-of Date</t>
  </si>
  <si>
    <t>Operating Expenses</t>
  </si>
  <si>
    <t>Closing Cash</t>
  </si>
  <si>
    <t>AR Outstanding</t>
  </si>
  <si>
    <t>AP Outstanding</t>
  </si>
  <si>
    <t>Current Ratio</t>
  </si>
  <si>
    <t>SELECTED MONTH PERFORMANCE</t>
  </si>
  <si>
    <t>SCENARIO COMPARISON</t>
  </si>
  <si>
    <t>Metric</t>
  </si>
  <si>
    <t>YTD</t>
  </si>
  <si>
    <t>FY2025</t>
  </si>
  <si>
    <t>Category</t>
  </si>
  <si>
    <t>Amount</t>
  </si>
  <si>
    <t>Employee Costs</t>
  </si>
  <si>
    <t>Infrastructure</t>
  </si>
  <si>
    <t>Marketing</t>
  </si>
  <si>
    <t>Travel</t>
  </si>
  <si>
    <t>Software</t>
  </si>
  <si>
    <t>AUTOMATIC MANAGEMENT ALERTS</t>
  </si>
  <si>
    <t>Professional Fees</t>
  </si>
  <si>
    <t>Alert</t>
  </si>
  <si>
    <t>Status</t>
  </si>
  <si>
    <t>Recommended Action</t>
  </si>
  <si>
    <t>Office Expenses</t>
  </si>
  <si>
    <t>Budget utilization</t>
  </si>
  <si>
    <t>Other</t>
  </si>
  <si>
    <t>Liquidity</t>
  </si>
  <si>
    <t>AR aging</t>
  </si>
  <si>
    <t>Profitability</t>
  </si>
  <si>
    <t>Invoice_ID</t>
  </si>
  <si>
    <t>Date</t>
  </si>
  <si>
    <t>Business_Unit</t>
  </si>
  <si>
    <t>Region</t>
  </si>
  <si>
    <t>Customer</t>
  </si>
  <si>
    <t>Currency</t>
  </si>
  <si>
    <t>Year</t>
  </si>
  <si>
    <t>Quarter</t>
  </si>
  <si>
    <t>REV-2501-1001</t>
  </si>
  <si>
    <t>Software Development</t>
  </si>
  <si>
    <t>North</t>
  </si>
  <si>
    <t>Alpha Industries</t>
  </si>
  <si>
    <t>INR</t>
  </si>
  <si>
    <t>REV-2501-1002</t>
  </si>
  <si>
    <t>Website Development</t>
  </si>
  <si>
    <t>South</t>
  </si>
  <si>
    <t>Crest Healthcare</t>
  </si>
  <si>
    <t>REV-2501-1003</t>
  </si>
  <si>
    <t>AMC &amp; Maintenance</t>
  </si>
  <si>
    <t>West</t>
  </si>
  <si>
    <t>Evergreen Finance</t>
  </si>
  <si>
    <t>REV-2501-1004</t>
  </si>
  <si>
    <t>IT Consulting</t>
  </si>
  <si>
    <t>East</t>
  </si>
  <si>
    <t>REV-2502-1005</t>
  </si>
  <si>
    <t>Bright Retail</t>
  </si>
  <si>
    <t>REV-2502-1006</t>
  </si>
  <si>
    <t>Delta Logistics</t>
  </si>
  <si>
    <t>REV-2502-1007</t>
  </si>
  <si>
    <t>FutureTech</t>
  </si>
  <si>
    <t>REV-2502-1008</t>
  </si>
  <si>
    <t>REV-2503-1009</t>
  </si>
  <si>
    <t>REV-2503-1010</t>
  </si>
  <si>
    <t>REV-2503-1011</t>
  </si>
  <si>
    <t>REV-2503-1012</t>
  </si>
  <si>
    <t>REV-2504-1013</t>
  </si>
  <si>
    <t>REV-2504-1014</t>
  </si>
  <si>
    <t>REV-2504-1015</t>
  </si>
  <si>
    <t>REV-2504-1016</t>
  </si>
  <si>
    <t>REV-2505-1017</t>
  </si>
  <si>
    <t>REV-2505-1018</t>
  </si>
  <si>
    <t>REV-2505-1019</t>
  </si>
  <si>
    <t>REV-2505-1020</t>
  </si>
  <si>
    <t>REV-2506-1021</t>
  </si>
  <si>
    <t>REV-2506-1022</t>
  </si>
  <si>
    <t>REV-2506-1023</t>
  </si>
  <si>
    <t>REV-2506-1024</t>
  </si>
  <si>
    <t>REV-2507-1025</t>
  </si>
  <si>
    <t>REV-2507-1026</t>
  </si>
  <si>
    <t>REV-2507-1027</t>
  </si>
  <si>
    <t>REV-2507-1028</t>
  </si>
  <si>
    <t>REV-2508-1029</t>
  </si>
  <si>
    <t>REV-2508-1030</t>
  </si>
  <si>
    <t>REV-2508-1031</t>
  </si>
  <si>
    <t>REV-2508-1032</t>
  </si>
  <si>
    <t>REV-2509-1033</t>
  </si>
  <si>
    <t>REV-2509-1034</t>
  </si>
  <si>
    <t>REV-2509-1035</t>
  </si>
  <si>
    <t>REV-2509-1036</t>
  </si>
  <si>
    <t>REV-2510-1037</t>
  </si>
  <si>
    <t>REV-2510-1038</t>
  </si>
  <si>
    <t>REV-2510-1039</t>
  </si>
  <si>
    <t>REV-2510-1040</t>
  </si>
  <si>
    <t>REV-2511-1041</t>
  </si>
  <si>
    <t>REV-2511-1042</t>
  </si>
  <si>
    <t>REV-2511-1043</t>
  </si>
  <si>
    <t>REV-2511-1044</t>
  </si>
  <si>
    <t>REV-2512-1045</t>
  </si>
  <si>
    <t>REV-2512-1046</t>
  </si>
  <si>
    <t>REV-2512-1047</t>
  </si>
  <si>
    <t>REV-2512-1048</t>
  </si>
  <si>
    <t>Expense_ID</t>
  </si>
  <si>
    <t>Department</t>
  </si>
  <si>
    <t>Actual_Expense</t>
  </si>
  <si>
    <t>EXP-2501-2001</t>
  </si>
  <si>
    <t>Engineering</t>
  </si>
  <si>
    <t>EXP-2501-2002</t>
  </si>
  <si>
    <t>IT</t>
  </si>
  <si>
    <t>EXP-2501-2003</t>
  </si>
  <si>
    <t>Sales &amp; Marketing</t>
  </si>
  <si>
    <t>EXP-2501-2004</t>
  </si>
  <si>
    <t>Operations</t>
  </si>
  <si>
    <t>EXP-2501-2005</t>
  </si>
  <si>
    <t>HR</t>
  </si>
  <si>
    <t>EXP-2501-2006</t>
  </si>
  <si>
    <t>Finance &amp; Admin</t>
  </si>
  <si>
    <t>EXP-2501-2007</t>
  </si>
  <si>
    <t>Utilities</t>
  </si>
  <si>
    <t>EXP-2501-2008</t>
  </si>
  <si>
    <t>Administration</t>
  </si>
  <si>
    <t>EXP-2502-2009</t>
  </si>
  <si>
    <t>EXP-2502-2010</t>
  </si>
  <si>
    <t>EXP-2502-2011</t>
  </si>
  <si>
    <t>EXP-2502-2012</t>
  </si>
  <si>
    <t>EXP-2502-2013</t>
  </si>
  <si>
    <t>EXP-2502-2014</t>
  </si>
  <si>
    <t>EXP-2502-2015</t>
  </si>
  <si>
    <t>EXP-2502-2016</t>
  </si>
  <si>
    <t>EXP-2503-2017</t>
  </si>
  <si>
    <t>EXP-2503-2018</t>
  </si>
  <si>
    <t>EXP-2503-2019</t>
  </si>
  <si>
    <t>EXP-2503-2020</t>
  </si>
  <si>
    <t>EXP-2503-2021</t>
  </si>
  <si>
    <t>EXP-2503-2022</t>
  </si>
  <si>
    <t>EXP-2503-2023</t>
  </si>
  <si>
    <t>EXP-2503-2024</t>
  </si>
  <si>
    <t>EXP-2504-2025</t>
  </si>
  <si>
    <t>EXP-2504-2026</t>
  </si>
  <si>
    <t>EXP-2504-2027</t>
  </si>
  <si>
    <t>EXP-2504-2028</t>
  </si>
  <si>
    <t>EXP-2504-2029</t>
  </si>
  <si>
    <t>EXP-2504-2030</t>
  </si>
  <si>
    <t>EXP-2504-2031</t>
  </si>
  <si>
    <t>EXP-2504-2032</t>
  </si>
  <si>
    <t>EXP-2505-2033</t>
  </si>
  <si>
    <t>EXP-2505-2034</t>
  </si>
  <si>
    <t>EXP-2505-2035</t>
  </si>
  <si>
    <t>EXP-2505-2036</t>
  </si>
  <si>
    <t>EXP-2505-2037</t>
  </si>
  <si>
    <t>EXP-2505-2038</t>
  </si>
  <si>
    <t>EXP-2505-2039</t>
  </si>
  <si>
    <t>EXP-2505-2040</t>
  </si>
  <si>
    <t>EXP-2506-2041</t>
  </si>
  <si>
    <t>EXP-2506-2042</t>
  </si>
  <si>
    <t>EXP-2506-2043</t>
  </si>
  <si>
    <t>EXP-2506-2044</t>
  </si>
  <si>
    <t>EXP-2506-2045</t>
  </si>
  <si>
    <t>EXP-2506-2046</t>
  </si>
  <si>
    <t>EXP-2506-2047</t>
  </si>
  <si>
    <t>EXP-2506-2048</t>
  </si>
  <si>
    <t>EXP-2507-2049</t>
  </si>
  <si>
    <t>EXP-2507-2050</t>
  </si>
  <si>
    <t>EXP-2507-2051</t>
  </si>
  <si>
    <t>EXP-2507-2052</t>
  </si>
  <si>
    <t>EXP-2507-2053</t>
  </si>
  <si>
    <t>EXP-2507-2054</t>
  </si>
  <si>
    <t>EXP-2507-2055</t>
  </si>
  <si>
    <t>EXP-2507-2056</t>
  </si>
  <si>
    <t>EXP-2508-2057</t>
  </si>
  <si>
    <t>EXP-2508-2058</t>
  </si>
  <si>
    <t>EXP-2508-2059</t>
  </si>
  <si>
    <t>EXP-2508-2060</t>
  </si>
  <si>
    <t>EXP-2508-2061</t>
  </si>
  <si>
    <t>EXP-2508-2062</t>
  </si>
  <si>
    <t>EXP-2508-2063</t>
  </si>
  <si>
    <t>EXP-2508-2064</t>
  </si>
  <si>
    <t>EXP-2509-2065</t>
  </si>
  <si>
    <t>EXP-2509-2066</t>
  </si>
  <si>
    <t>EXP-2509-2067</t>
  </si>
  <si>
    <t>EXP-2509-2068</t>
  </si>
  <si>
    <t>EXP-2509-2069</t>
  </si>
  <si>
    <t>EXP-2509-2070</t>
  </si>
  <si>
    <t>EXP-2509-2071</t>
  </si>
  <si>
    <t>EXP-2509-2072</t>
  </si>
  <si>
    <t>EXP-2510-2073</t>
  </si>
  <si>
    <t>EXP-2510-2074</t>
  </si>
  <si>
    <t>EXP-2510-2075</t>
  </si>
  <si>
    <t>EXP-2510-2076</t>
  </si>
  <si>
    <t>EXP-2510-2077</t>
  </si>
  <si>
    <t>EXP-2510-2078</t>
  </si>
  <si>
    <t>EXP-2510-2079</t>
  </si>
  <si>
    <t>EXP-2510-2080</t>
  </si>
  <si>
    <t>EXP-2511-2081</t>
  </si>
  <si>
    <t>EXP-2511-2082</t>
  </si>
  <si>
    <t>EXP-2511-2083</t>
  </si>
  <si>
    <t>EXP-2511-2084</t>
  </si>
  <si>
    <t>EXP-2511-2085</t>
  </si>
  <si>
    <t>EXP-2511-2086</t>
  </si>
  <si>
    <t>EXP-2511-2087</t>
  </si>
  <si>
    <t>EXP-2511-2088</t>
  </si>
  <si>
    <t>EXP-2512-2089</t>
  </si>
  <si>
    <t>EXP-2512-2090</t>
  </si>
  <si>
    <t>EXP-2512-2091</t>
  </si>
  <si>
    <t>EXP-2512-2092</t>
  </si>
  <si>
    <t>EXP-2512-2093</t>
  </si>
  <si>
    <t>EXP-2512-2094</t>
  </si>
  <si>
    <t>EXP-2512-2095</t>
  </si>
  <si>
    <t>EXP-2512-2096</t>
  </si>
  <si>
    <t>Annual_Budget</t>
  </si>
  <si>
    <t>Annual_Actual</t>
  </si>
  <si>
    <t>Variance</t>
  </si>
  <si>
    <t>Utilization_%</t>
  </si>
  <si>
    <t>Utilization %</t>
  </si>
  <si>
    <t>Budget</t>
  </si>
  <si>
    <t>Opening_Cash</t>
  </si>
  <si>
    <t>Customer_Collections</t>
  </si>
  <si>
    <t>Other_Operating_Inflows</t>
  </si>
  <si>
    <t>Investments</t>
  </si>
  <si>
    <t>Loan_Draw</t>
  </si>
  <si>
    <t>Total_Inflows</t>
  </si>
  <si>
    <t>Operating_Expenses</t>
  </si>
  <si>
    <t>Asset_Purchases</t>
  </si>
  <si>
    <t>Debt_Repayment</t>
  </si>
  <si>
    <t>Total_Outflows</t>
  </si>
  <si>
    <t>Closing_Cash</t>
  </si>
  <si>
    <t>Invoice_Number</t>
  </si>
  <si>
    <t>Invoice_Date</t>
  </si>
  <si>
    <t>Due_Date</t>
  </si>
  <si>
    <t>Invoice_Amount</t>
  </si>
  <si>
    <t>Paid_Amount</t>
  </si>
  <si>
    <t>Outstanding_Amount</t>
  </si>
  <si>
    <t>Payment_Status</t>
  </si>
  <si>
    <t>Days_Overdue</t>
  </si>
  <si>
    <t>Aging_Bucket</t>
  </si>
  <si>
    <t>Invoice ID</t>
  </si>
  <si>
    <t>Invoice Date</t>
  </si>
  <si>
    <t>Due Date</t>
  </si>
  <si>
    <t>Invoice Amount</t>
  </si>
  <si>
    <t>Amount Received</t>
  </si>
  <si>
    <t>Outstanding</t>
  </si>
  <si>
    <t>Days Overdue</t>
  </si>
  <si>
    <t>Aging Bucket</t>
  </si>
  <si>
    <t>AR-5001</t>
  </si>
  <si>
    <t>Paid</t>
  </si>
  <si>
    <t>0-30</t>
  </si>
  <si>
    <t>AR-5002</t>
  </si>
  <si>
    <t>Partially Paid</t>
  </si>
  <si>
    <t>90+</t>
  </si>
  <si>
    <t>AR-5003</t>
  </si>
  <si>
    <t>AR-5004</t>
  </si>
  <si>
    <t>AR-5005</t>
  </si>
  <si>
    <t>Unpaid</t>
  </si>
  <si>
    <t>AR-5006</t>
  </si>
  <si>
    <t>AR-5007</t>
  </si>
  <si>
    <t>AR-5008</t>
  </si>
  <si>
    <t>AR-5009</t>
  </si>
  <si>
    <t>AR-5010</t>
  </si>
  <si>
    <t>AR-5011</t>
  </si>
  <si>
    <t>AR-5012</t>
  </si>
  <si>
    <t>AR-5013</t>
  </si>
  <si>
    <t>AR-5014</t>
  </si>
  <si>
    <t>AR-5015</t>
  </si>
  <si>
    <t>AR-5016</t>
  </si>
  <si>
    <t>AR-5017</t>
  </si>
  <si>
    <t>AR-5018</t>
  </si>
  <si>
    <t>AR-5019</t>
  </si>
  <si>
    <t>AR-5020</t>
  </si>
  <si>
    <t>AR-5021</t>
  </si>
  <si>
    <t>AR-5022</t>
  </si>
  <si>
    <t>AR-5023</t>
  </si>
  <si>
    <t>AR-5024</t>
  </si>
  <si>
    <t>AR-5025</t>
  </si>
  <si>
    <t>AR-5026</t>
  </si>
  <si>
    <t>AR-5027</t>
  </si>
  <si>
    <t>AR-5028</t>
  </si>
  <si>
    <t>AR-5029</t>
  </si>
  <si>
    <t>AR-5030</t>
  </si>
  <si>
    <t>AR-5031</t>
  </si>
  <si>
    <t>AR-5032</t>
  </si>
  <si>
    <t>AR-5033</t>
  </si>
  <si>
    <t>AR-5034</t>
  </si>
  <si>
    <t>AR-5035</t>
  </si>
  <si>
    <t>AR-5036</t>
  </si>
  <si>
    <t>AR-5037</t>
  </si>
  <si>
    <t>AR-5038</t>
  </si>
  <si>
    <t>AR-5039</t>
  </si>
  <si>
    <t>AR-5040</t>
  </si>
  <si>
    <t>AR-5041</t>
  </si>
  <si>
    <t>AR-5042</t>
  </si>
  <si>
    <t>AR-5043</t>
  </si>
  <si>
    <t>AR-5044</t>
  </si>
  <si>
    <t>AR-5045</t>
  </si>
  <si>
    <t>AR-5046</t>
  </si>
  <si>
    <t>61-90</t>
  </si>
  <si>
    <t>AR-5047</t>
  </si>
  <si>
    <t>AR-5048</t>
  </si>
  <si>
    <t>AR-5049</t>
  </si>
  <si>
    <t>AR-5050</t>
  </si>
  <si>
    <t>AR-5051</t>
  </si>
  <si>
    <t>AR-5052</t>
  </si>
  <si>
    <t>AR-5053</t>
  </si>
  <si>
    <t>AR-5054</t>
  </si>
  <si>
    <t>AR-5055</t>
  </si>
  <si>
    <t>AR-5056</t>
  </si>
  <si>
    <t>AR-5057</t>
  </si>
  <si>
    <t>AR-5058</t>
  </si>
  <si>
    <t>AR-5059</t>
  </si>
  <si>
    <t>AR-5060</t>
  </si>
  <si>
    <t>AR AGING SUMMARY</t>
  </si>
  <si>
    <t>Total Invoice Amount</t>
  </si>
  <si>
    <t>Total Received</t>
  </si>
  <si>
    <t>Total Outstanding</t>
  </si>
  <si>
    <t>31-60</t>
  </si>
  <si>
    <t>Bill_Number</t>
  </si>
  <si>
    <t>Vendor</t>
  </si>
  <si>
    <t>Bill_Date</t>
  </si>
  <si>
    <t>Bill_Amount</t>
  </si>
  <si>
    <t>Bill ID</t>
  </si>
  <si>
    <t>Supplier</t>
  </si>
  <si>
    <t>Bill Date</t>
  </si>
  <si>
    <t>Bill Amount</t>
  </si>
  <si>
    <t>Amount Paid</t>
  </si>
  <si>
    <t>AP-7001</t>
  </si>
  <si>
    <t>CloudNet</t>
  </si>
  <si>
    <t>AP-7002</t>
  </si>
  <si>
    <t>OfficeHub</t>
  </si>
  <si>
    <t>AP-7003</t>
  </si>
  <si>
    <t>TravelPro</t>
  </si>
  <si>
    <t>AP-7004</t>
  </si>
  <si>
    <t>SoftWorks</t>
  </si>
  <si>
    <t>AP-7005</t>
  </si>
  <si>
    <t>AP-7006</t>
  </si>
  <si>
    <t>AP-7007</t>
  </si>
  <si>
    <t>AP-7008</t>
  </si>
  <si>
    <t>UtilityCo</t>
  </si>
  <si>
    <t>AP-7009</t>
  </si>
  <si>
    <t>AP-7010</t>
  </si>
  <si>
    <t>AP-7011</t>
  </si>
  <si>
    <t>AP-7012</t>
  </si>
  <si>
    <t>InfraServe</t>
  </si>
  <si>
    <t>AP-7013</t>
  </si>
  <si>
    <t>AP-7014</t>
  </si>
  <si>
    <t>AP-7015</t>
  </si>
  <si>
    <t>AP-7016</t>
  </si>
  <si>
    <t>AP-7017</t>
  </si>
  <si>
    <t>AP-7018</t>
  </si>
  <si>
    <t>AP-7019</t>
  </si>
  <si>
    <t>AP-7020</t>
  </si>
  <si>
    <t>AP-7021</t>
  </si>
  <si>
    <t>AP-7022</t>
  </si>
  <si>
    <t>AP-7023</t>
  </si>
  <si>
    <t>AP-7024</t>
  </si>
  <si>
    <t>AP-7025</t>
  </si>
  <si>
    <t>AP-7026</t>
  </si>
  <si>
    <t>AP-7027</t>
  </si>
  <si>
    <t>AP-7028</t>
  </si>
  <si>
    <t>AP-7029</t>
  </si>
  <si>
    <t>AP-7030</t>
  </si>
  <si>
    <t>AP-7031</t>
  </si>
  <si>
    <t>AP-7032</t>
  </si>
  <si>
    <t>AP-7033</t>
  </si>
  <si>
    <t>AP-7034</t>
  </si>
  <si>
    <t>AP-7035</t>
  </si>
  <si>
    <t>AP-7036</t>
  </si>
  <si>
    <t>AP-7037</t>
  </si>
  <si>
    <t>AP-7038</t>
  </si>
  <si>
    <t>AP-7039</t>
  </si>
  <si>
    <t>AP-7040</t>
  </si>
  <si>
    <t>AP-7041</t>
  </si>
  <si>
    <t>AP-7042</t>
  </si>
  <si>
    <t>AP-7043</t>
  </si>
  <si>
    <t>AP-7044</t>
  </si>
  <si>
    <t>AP-7045</t>
  </si>
  <si>
    <t>AP-7046</t>
  </si>
  <si>
    <t>AP-7047</t>
  </si>
  <si>
    <t>AP-7048</t>
  </si>
  <si>
    <t>AP AGING SUMMARY</t>
  </si>
  <si>
    <t>Total Bill Amount</t>
  </si>
  <si>
    <t>Total Paid</t>
  </si>
  <si>
    <t>AR</t>
  </si>
  <si>
    <t>Inventory</t>
  </si>
  <si>
    <t>Current_Assets</t>
  </si>
  <si>
    <t>Current_Liabilities</t>
  </si>
  <si>
    <t>Working_Capital</t>
  </si>
  <si>
    <t>Current_Ratio</t>
  </si>
  <si>
    <t>Quick_Ratio</t>
  </si>
  <si>
    <t>Current Assets</t>
  </si>
  <si>
    <t>Current Liabilities</t>
  </si>
  <si>
    <t>Working Capital</t>
  </si>
  <si>
    <t>Quick Assets</t>
  </si>
  <si>
    <t>Quick Ratio</t>
  </si>
  <si>
    <t>AR Days</t>
  </si>
  <si>
    <t>AP Days</t>
  </si>
  <si>
    <t>Cost_of_Revenue</t>
  </si>
  <si>
    <t>Gross_Profit</t>
  </si>
  <si>
    <t>Allocated_Operating_Expense</t>
  </si>
  <si>
    <t>EBITDA_Margin</t>
  </si>
  <si>
    <t>Forecast</t>
  </si>
  <si>
    <t>Net_Profit</t>
  </si>
  <si>
    <t>Revenue_Factor</t>
  </si>
  <si>
    <t>Expense_Factor</t>
  </si>
  <si>
    <t>Upside</t>
  </si>
  <si>
    <t>Downside</t>
  </si>
  <si>
    <t>Alert_Type</t>
  </si>
  <si>
    <t>Severity</t>
  </si>
  <si>
    <t>Entity</t>
  </si>
  <si>
    <t>Message</t>
  </si>
  <si>
    <t>Budget Utilization</t>
  </si>
  <si>
    <t>HIGH</t>
  </si>
  <si>
    <t>Utilization 92.5% exceeds 90% threshold</t>
  </si>
  <si>
    <t>Utilization 94.3% exceeds 90% threshold</t>
  </si>
  <si>
    <t>Utilization 90.8% exceeds 90% threshold</t>
  </si>
  <si>
    <t>Utilization 93.4% exceeds 90% threshold</t>
  </si>
  <si>
    <t>Utilization 95.2% exceeds 90% threshold</t>
  </si>
  <si>
    <t>Credit Risk</t>
  </si>
  <si>
    <t>Invoice AR-5002 overdue 334 days</t>
  </si>
  <si>
    <t>Invoice AR-5003 overdue 334 days</t>
  </si>
  <si>
    <t>Invoice AR-5004 overdue 334 days</t>
  </si>
  <si>
    <t>Invoice AR-5005 overdue 334 days</t>
  </si>
  <si>
    <t>Invoice AR-5006 overdue 303 days</t>
  </si>
  <si>
    <t>Invoice AR-5007 overdue 303 days</t>
  </si>
  <si>
    <t>Invoice AR-5008 overdue 303 days</t>
  </si>
  <si>
    <t>Invoice AR-5009 overdue 303 days</t>
  </si>
  <si>
    <t>Invoice AR-5011 overdue 275 days</t>
  </si>
  <si>
    <t>Invoice AR-5012 overdue 275 days</t>
  </si>
  <si>
    <t>Invoice AR-5013 overdue 275 days</t>
  </si>
  <si>
    <t>Invoice AR-5015 overdue 275 days</t>
  </si>
  <si>
    <t>Invoice AR-5016 overdue 244 days</t>
  </si>
  <si>
    <t>Invoice AR-5017 overdue 244 days</t>
  </si>
  <si>
    <t>Invoice AR-5019 overdue 244 days</t>
  </si>
  <si>
    <t>Invoice AR-5020 overdue 244 days</t>
  </si>
  <si>
    <t>Invoice AR-5021 overdue 214 days</t>
  </si>
  <si>
    <t>Invoice AR-5023 overdue 214 days</t>
  </si>
  <si>
    <t>Invoice AR-5024 overdue 214 days</t>
  </si>
  <si>
    <t>Invoice AR-5025 overdue 214 days</t>
  </si>
  <si>
    <t>Invoice AR-5027 overdue 183 days</t>
  </si>
  <si>
    <t>Invoice AR-5028 overdue 183 days</t>
  </si>
  <si>
    <t>Invoice AR-5029 overdue 183 days</t>
  </si>
  <si>
    <t>Invoice AR-5030 overdue 183 days</t>
  </si>
  <si>
    <t>Invoice AR-5031 overdue 153 days</t>
  </si>
  <si>
    <t>Invoice AR-5032 overdue 153 days</t>
  </si>
  <si>
    <t>Invoice AR-5033 overdue 153 days</t>
  </si>
  <si>
    <t>Invoice AR-5034 overdue 153 days</t>
  </si>
  <si>
    <t>Invoice AR-5036 overdue 122 days</t>
  </si>
  <si>
    <t>Invoice AR-5037 overdue 122 days</t>
  </si>
  <si>
    <t>Invoice AR-5038 overdue 122 days</t>
  </si>
  <si>
    <t>Invoice AR-5040 overdue 122 days</t>
  </si>
  <si>
    <t>Invoice AR-5041 overdue 91 days</t>
  </si>
  <si>
    <t>Invoice AR-5042 overdue 91 days</t>
  </si>
  <si>
    <t>Invoice AR-5044 overdue 91 days</t>
  </si>
  <si>
    <t>Invoice AR-5045 overdue 91 days</t>
  </si>
  <si>
    <t>Check</t>
  </si>
  <si>
    <t>Issue_Count</t>
  </si>
  <si>
    <t>Revenue missing values</t>
  </si>
  <si>
    <t>PASS</t>
  </si>
  <si>
    <t>Expense missing values</t>
  </si>
  <si>
    <t>AR negative outstanding</t>
  </si>
  <si>
    <t>AP negative outstanding</t>
  </si>
  <si>
    <t>Cash-flow reconciliation</t>
  </si>
  <si>
    <t>Table</t>
  </si>
  <si>
    <t>Primary Key</t>
  </si>
  <si>
    <t>Important Fields</t>
  </si>
  <si>
    <t>Purpose</t>
  </si>
  <si>
    <t>Date, Business_Unit, Region, Customer, Revenue, Currency</t>
  </si>
  <si>
    <t>Revenue transaction fact</t>
  </si>
  <si>
    <t>Date, Department, Category, Actual_Expense</t>
  </si>
  <si>
    <t>Expense transaction fact</t>
  </si>
  <si>
    <t>Annual_Budget, Annual_Actual, Variance, Utilization_%</t>
  </si>
  <si>
    <t>Annual department budget</t>
  </si>
  <si>
    <t>Monthly_Budget</t>
  </si>
  <si>
    <t>Month+Department</t>
  </si>
  <si>
    <t>Monthly budget allocation</t>
  </si>
  <si>
    <t>AR_Aging</t>
  </si>
  <si>
    <t>Customer, Invoice_Date, Due_Date, Amounts, Days_Overdue, Aging_Bucket</t>
  </si>
  <si>
    <t>Receivables aging</t>
  </si>
  <si>
    <t>AP_Aging</t>
  </si>
  <si>
    <t>Vendor, Bill_Date, Due_Date, Amounts, Days_Overdue, Aging_Bucket</t>
  </si>
  <si>
    <t>Payables aging</t>
  </si>
  <si>
    <t>CashFlow</t>
  </si>
  <si>
    <t>Opening_Cash, Inflows, Outflows, Closing_Cash</t>
  </si>
  <si>
    <t>Cash-flow statement</t>
  </si>
  <si>
    <t>Cash, AR, Inventory, Current_Assets, Current_Liabilities</t>
  </si>
  <si>
    <t>Liquidity KPIs</t>
  </si>
  <si>
    <t>Month+Metric</t>
  </si>
  <si>
    <t>Forward-looking estimates</t>
  </si>
  <si>
    <t>Risk_Alerts</t>
  </si>
  <si>
    <t>Alert_Type+Entity</t>
  </si>
  <si>
    <t>Severity, Message</t>
  </si>
  <si>
    <t>Rule-based risk detection</t>
  </si>
  <si>
    <t>Formula / Logic</t>
  </si>
  <si>
    <t>Budget Variance</t>
  </si>
  <si>
    <t>Actual - Budget</t>
  </si>
  <si>
    <t>Budget Utilization %</t>
  </si>
  <si>
    <t>Actual / Budget</t>
  </si>
  <si>
    <t>Opening Cash + Total Inflows - Total Outflows</t>
  </si>
  <si>
    <t>Outstanding AR</t>
  </si>
  <si>
    <t>Invoice Amount - Paid Amount</t>
  </si>
  <si>
    <t>MAX(As-of Date - Due Date, 0) for unpaid balances</t>
  </si>
  <si>
    <t>Gross Profit</t>
  </si>
  <si>
    <t>Revenue - Cost of Revenue</t>
  </si>
  <si>
    <t>Gross Margin</t>
  </si>
  <si>
    <t>Gross Profit / Revenue</t>
  </si>
  <si>
    <t>Gross Profit - Operating Expenses</t>
  </si>
  <si>
    <t>EBITDA Margin</t>
  </si>
  <si>
    <t>EBITDA / Revenue</t>
  </si>
  <si>
    <t>EBIT</t>
  </si>
  <si>
    <t>EBITDA - D&amp;A</t>
  </si>
  <si>
    <t>EBIT - Tax</t>
  </si>
  <si>
    <t>Net Profit Margin</t>
  </si>
  <si>
    <t>Net Profit / Revenue</t>
  </si>
  <si>
    <t>Current Assets / Current Liabilities</t>
  </si>
  <si>
    <t>(Current Assets - Inventory) / Current Liabilities</t>
  </si>
  <si>
    <t>Current Assets - Current Liabilities</t>
  </si>
  <si>
    <t>Linear trend fitted to historical monthly values</t>
  </si>
  <si>
    <t>High Spending Alert</t>
  </si>
  <si>
    <t>Budget Utilization &gt; 90%</t>
  </si>
  <si>
    <t>High Credit Risk</t>
  </si>
  <si>
    <t>Invoice overdue &gt; 90 days</t>
  </si>
  <si>
    <t>Liquidity Alert</t>
  </si>
  <si>
    <t>Closing cash below ₹2,000,000</t>
  </si>
  <si>
    <t>Expense Growth Alert</t>
  </si>
  <si>
    <t>Month-on-month expense growth &gt; 20%</t>
  </si>
  <si>
    <t>MONTHLY P&amp;L | FORMULA-DRIVEN</t>
  </si>
  <si>
    <t>Cost of Revenue</t>
  </si>
  <si>
    <t>D&amp;A</t>
  </si>
  <si>
    <t>Tax</t>
  </si>
  <si>
    <t>Net Margin</t>
  </si>
  <si>
    <t>1. MONTHLY REVENUE</t>
  </si>
  <si>
    <t>2. REVENUE VS OPERATING EXPENSES</t>
  </si>
  <si>
    <t>3. PROFIT TREND</t>
  </si>
  <si>
    <t>4. EXPENSE DISTRIBUTION</t>
  </si>
  <si>
    <t>5. BUDGET VS ACTUAL</t>
  </si>
  <si>
    <t>Actual</t>
  </si>
  <si>
    <t>6. CLOSING CASH TREND</t>
  </si>
  <si>
    <t>7. AR AGING</t>
  </si>
  <si>
    <t>8. AP AGING</t>
  </si>
  <si>
    <t>Formula-driven helper tables</t>
  </si>
  <si>
    <t>Do not manually overwrite calculated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</si>
</sst>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164" formatCode="\₹#,##0"/>
    <numFmt numFmtId="165" formatCode="0.0%"/>
    <numFmt numFmtId="166" formatCode="dd\-mmm\-yyyy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17365D"/>
      <name val="Calibri"/>
    </font>
    <font>
      <b/>
      <sz val="11"/>
      <color rgb="FF17365D"/>
      <name val="Calibri"/>
    </font>
    <font>
      <b/>
      <sz val="11"/>
      <color rgb="FF375623"/>
      <name val="Calibri"/>
    </font>
    <font>
      <b/>
      <sz val="15"/>
      <color rgb="FF17365D"/>
      <name val="Calibri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4" fillId="0" borderId="0" xfId="0" applyFont="1"/>
    <xf numFmtId="17" fontId="0" fillId="0" borderId="0" xfId="0" applyNumberFormat="1"/>
    <xf numFmtId="0" fontId="5" fillId="4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7" fontId="0" fillId="0" borderId="1" xfId="0" applyNumberFormat="1" applyBorder="1"/>
    <xf numFmtId="165" fontId="0" fillId="0" borderId="1" xfId="0" applyNumberFormat="1" applyBorder="1"/>
    <xf numFmtId="0" fontId="0" fillId="0" borderId="3" xfId="0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4" fillId="0" borderId="1" xfId="0" applyFont="1" applyBorder="1"/>
    <xf numFmtId="17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/>
    <xf numFmtId="164" fontId="0" fillId="0" borderId="5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6" fontId="0" fillId="0" borderId="0" xfId="0" applyNumberFormat="1"/>
    <xf numFmtId="0" fontId="0" fillId="0" borderId="7" xfId="0" applyBorder="1" applyAlignment="1">
      <alignment vertical="center"/>
    </xf>
    <xf numFmtId="0" fontId="3" fillId="2" borderId="5" xfId="0" applyFont="1" applyFill="1" applyBorder="1"/>
    <xf numFmtId="0" fontId="0" fillId="0" borderId="6" xfId="0" applyBorder="1"/>
    <xf numFmtId="166" fontId="0" fillId="0" borderId="6" xfId="0" applyNumberFormat="1" applyBorder="1"/>
    <xf numFmtId="164" fontId="0" fillId="0" borderId="6" xfId="0" applyNumberFormat="1" applyBorder="1"/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/>
    <xf numFmtId="0" fontId="0" fillId="0" borderId="6" xfId="0" applyBorder="1" applyAlignment="1">
      <alignment vertical="center"/>
    </xf>
    <xf numFmtId="166" fontId="0" fillId="0" borderId="6" xfId="0" applyNumberFormat="1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166" fontId="0" fillId="0" borderId="5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166" fontId="0" fillId="0" borderId="9" xfId="0" applyNumberFormat="1" applyBorder="1"/>
    <xf numFmtId="164" fontId="0" fillId="0" borderId="9" xfId="0" applyNumberFormat="1" applyBorder="1"/>
    <xf numFmtId="0" fontId="0" fillId="0" borderId="2" xfId="0" applyBorder="1"/>
    <xf numFmtId="0" fontId="0" fillId="0" borderId="5" xfId="0" applyBorder="1"/>
    <xf numFmtId="0" fontId="0" fillId="7" borderId="0" xfId="0" applyFill="1"/>
    <xf numFmtId="0" fontId="2" fillId="5" borderId="1" xfId="0" applyFont="1" applyFill="1" applyBorder="1" applyAlignment="1">
      <alignment horizontal="center" vertical="center"/>
    </xf>
    <xf numFmtId="17" fontId="2" fillId="5" borderId="1" xfId="0" applyNumberFormat="1" applyFont="1" applyFill="1" applyBorder="1" applyAlignment="1">
      <alignment horizontal="center"/>
    </xf>
    <xf numFmtId="166" fontId="2" fillId="5" borderId="1" xfId="0" applyNumberFormat="1" applyFont="1" applyFill="1" applyBorder="1" applyAlignment="1">
      <alignment horizontal="center"/>
    </xf>
    <xf numFmtId="0" fontId="4" fillId="8" borderId="0" xfId="0" applyFont="1" applyFill="1"/>
    <xf numFmtId="0" fontId="0" fillId="8" borderId="0" xfId="0" applyFill="1"/>
    <xf numFmtId="0" fontId="0" fillId="8" borderId="0" xfId="0" applyFill="1" applyAlignment="1">
      <alignment wrapText="1"/>
    </xf>
    <xf numFmtId="0" fontId="3" fillId="2" borderId="1" xfId="0" applyFont="1" applyFill="1" applyBorder="1" applyAlignment="1">
      <alignment horizontal="center"/>
    </xf>
    <xf numFmtId="0" fontId="0" fillId="0" borderId="0" xfId="0"/>
    <xf numFmtId="2" fontId="7" fillId="5" borderId="1" xfId="0" applyNumberFormat="1" applyFont="1" applyFill="1" applyBorder="1" applyAlignment="1">
      <alignment horizontal="center"/>
    </xf>
    <xf numFmtId="0" fontId="0" fillId="0" borderId="3" xfId="0" applyBorder="1"/>
    <xf numFmtId="164" fontId="7" fillId="5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0" fillId="9" borderId="6" xfId="0" applyFill="1" applyBorder="1"/>
    <xf numFmtId="17" fontId="0" fillId="9" borderId="6" xfId="0" applyNumberFormat="1" applyFill="1" applyBorder="1"/>
    <xf numFmtId="6" fontId="0" fillId="9" borderId="6" xfId="0" applyNumberFormat="1" applyFill="1" applyBorder="1"/>
    <xf numFmtId="0" fontId="0" fillId="8" borderId="0" xfId="0" applyFill="1" applyBorder="1"/>
    <xf numFmtId="0" fontId="8" fillId="10" borderId="6" xfId="0" applyFont="1" applyFill="1" applyBorder="1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Revenue, EBITDA &amp; Net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Dashboard!$Q$2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Dashboard!$Q$3:$Q$14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Dashboard!$P$3:$P$14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F2-4625-9DA6-478457F7C609}"/>
            </c:ext>
          </c:extLst>
        </c:ser>
        <c:ser>
          <c:idx val="1"/>
          <c:order val="1"/>
          <c:tx>
            <c:strRef>
              <c:f>Dashboard!$R$2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Dashboard!$R$3:$R$14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Dashboard!$P$3:$P$14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F2-4625-9DA6-478457F7C609}"/>
            </c:ext>
          </c:extLst>
        </c:ser>
        <c:ser>
          <c:idx val="2"/>
          <c:order val="2"/>
          <c:tx>
            <c:strRef>
              <c:f>Dashboard!$S$2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Dashboard!$S$3:$S$14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Dashboard!$P$3:$P$14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F2-4625-9DA6-478457F7C609}"/>
            </c:ext>
          </c:extLst>
        </c:ser>
        <c:ser>
          <c:idx val="3"/>
          <c:order val="3"/>
          <c:tx>
            <c:strRef>
              <c:f>Dashboard!$T$2</c:f>
              <c:strCache>
                <c:ptCount val="1"/>
                <c:pt idx="0">
                  <c:v>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Dashboard!$T$3:$T$14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Dashboard!$P$3:$P$14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4F2-4625-9DA6-478457F7C609}"/>
            </c:ext>
          </c:extLst>
        </c:ser>
        <c:ser>
          <c:idx val="4"/>
          <c:order val="4"/>
          <c:tx>
            <c:strRef>
              <c:f>'HELPER TABLE'!$F$2:$F$3</c:f>
              <c:strCache>
                <c:ptCount val="2"/>
                <c:pt idx="0">
                  <c:v>2. REVENUE VS OPERATING EXPENSES</c:v>
                </c:pt>
                <c:pt idx="1">
                  <c:v>Revenue</c:v>
                </c:pt>
              </c:strCache>
            </c:strRef>
          </c:tx>
          <c:val>
            <c:numRef>
              <c:f>'HELPER TABLE'!$F$4:$F$12</c:f>
              <c:numCache>
                <c:formatCode>"₹"#,##0_);[Red]\("₹"#,##0\)</c:formatCode>
                <c:ptCount val="9"/>
                <c:pt idx="0">
                  <c:v>2059800</c:v>
                </c:pt>
                <c:pt idx="1">
                  <c:v>2160300</c:v>
                </c:pt>
                <c:pt idx="2">
                  <c:v>2263000</c:v>
                </c:pt>
                <c:pt idx="3">
                  <c:v>2344800</c:v>
                </c:pt>
                <c:pt idx="4">
                  <c:v>2428100</c:v>
                </c:pt>
                <c:pt idx="5">
                  <c:v>2536500</c:v>
                </c:pt>
                <c:pt idx="6">
                  <c:v>2526700</c:v>
                </c:pt>
                <c:pt idx="7">
                  <c:v>2637700</c:v>
                </c:pt>
                <c:pt idx="8">
                  <c:v>2725900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'HELPER TABLE'!$E$4:$E$12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280-4441-899F-9B40F13DC220}"/>
            </c:ext>
          </c:extLst>
        </c:ser>
        <c:ser>
          <c:idx val="5"/>
          <c:order val="5"/>
          <c:tx>
            <c:strRef>
              <c:f>'HELPER TABLE'!$G$2:$G$3</c:f>
              <c:strCache>
                <c:ptCount val="2"/>
                <c:pt idx="0">
                  <c:v>2. REVENUE VS OPERATING EXPENSES</c:v>
                </c:pt>
                <c:pt idx="1">
                  <c:v>Expenses</c:v>
                </c:pt>
              </c:strCache>
            </c:strRef>
          </c:tx>
          <c:val>
            <c:numRef>
              <c:f>'HELPER TABLE'!$G$4:$G$12</c:f>
              <c:numCache>
                <c:formatCode>"₹"#,##0_);[Red]\("₹"#,##0\)</c:formatCode>
                <c:ptCount val="9"/>
                <c:pt idx="0">
                  <c:v>1366200</c:v>
                </c:pt>
                <c:pt idx="1">
                  <c:v>1424700</c:v>
                </c:pt>
                <c:pt idx="2">
                  <c:v>1427600</c:v>
                </c:pt>
                <c:pt idx="3">
                  <c:v>1487600</c:v>
                </c:pt>
                <c:pt idx="4">
                  <c:v>1446400</c:v>
                </c:pt>
                <c:pt idx="5">
                  <c:v>1507200</c:v>
                </c:pt>
                <c:pt idx="6">
                  <c:v>1554200</c:v>
                </c:pt>
                <c:pt idx="7">
                  <c:v>1511300</c:v>
                </c:pt>
                <c:pt idx="8">
                  <c:v>1604100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'HELPER TABLE'!$E$4:$E$12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6280-4441-899F-9B40F13DC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&quot;₹&quot;#,##0_);[Red]\(&quot;₹&quot;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vs Operating Expenses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Dashboard!$Q$2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Dashboard!$Q$3:$Q$14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Dashboard!$P$3:$P$14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0A4-4567-BDC1-29D0406C0F1F}"/>
            </c:ext>
          </c:extLst>
        </c:ser>
        <c:ser>
          <c:idx val="1"/>
          <c:order val="1"/>
          <c:tx>
            <c:strRef>
              <c:f>Dashboard!$R$2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Dashboard!$R$3:$R$14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Dashboard!$P$3:$P$14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0A4-4567-BDC1-29D0406C0F1F}"/>
            </c:ext>
          </c:extLst>
        </c:ser>
        <c:ser>
          <c:idx val="2"/>
          <c:order val="2"/>
          <c:tx>
            <c:strRef>
              <c:f>'HELPER TABLE'!$J$2:$J$3</c:f>
              <c:strCache>
                <c:ptCount val="2"/>
                <c:pt idx="0">
                  <c:v>3. PROFIT TREND</c:v>
                </c:pt>
                <c:pt idx="1">
                  <c:v>Revenue</c:v>
                </c:pt>
              </c:strCache>
            </c:strRef>
          </c:tx>
          <c:invertIfNegative val="0"/>
          <c:val>
            <c:numRef>
              <c:f>'HELPER TABLE'!$J$4:$J$12</c:f>
              <c:numCache>
                <c:formatCode>"₹"#,##0_);[Red]\("₹"#,##0\)</c:formatCode>
                <c:ptCount val="9"/>
                <c:pt idx="0">
                  <c:v>2059800</c:v>
                </c:pt>
                <c:pt idx="1">
                  <c:v>2160300</c:v>
                </c:pt>
                <c:pt idx="2">
                  <c:v>2263000</c:v>
                </c:pt>
                <c:pt idx="3">
                  <c:v>2344800</c:v>
                </c:pt>
                <c:pt idx="4">
                  <c:v>2428100</c:v>
                </c:pt>
                <c:pt idx="5">
                  <c:v>2536500</c:v>
                </c:pt>
                <c:pt idx="6">
                  <c:v>2526700</c:v>
                </c:pt>
                <c:pt idx="7">
                  <c:v>2637700</c:v>
                </c:pt>
                <c:pt idx="8">
                  <c:v>2725900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'HELPER TABLE'!$I$4:$I$12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022-4117-9D99-FFDF3FB6034B}"/>
            </c:ext>
          </c:extLst>
        </c:ser>
        <c:ser>
          <c:idx val="3"/>
          <c:order val="3"/>
          <c:tx>
            <c:strRef>
              <c:f>'HELPER TABLE'!$K$2:$K$3</c:f>
              <c:strCache>
                <c:ptCount val="2"/>
                <c:pt idx="0">
                  <c:v>3. PROFIT TREND</c:v>
                </c:pt>
                <c:pt idx="1">
                  <c:v>EBITDA</c:v>
                </c:pt>
              </c:strCache>
            </c:strRef>
          </c:tx>
          <c:invertIfNegative val="0"/>
          <c:val>
            <c:numRef>
              <c:f>'HELPER TABLE'!$K$4:$K$12</c:f>
              <c:numCache>
                <c:formatCode>"₹"#,##0_);[Red]\("₹"#,##0\)</c:formatCode>
                <c:ptCount val="9"/>
                <c:pt idx="0">
                  <c:v>-78825</c:v>
                </c:pt>
                <c:pt idx="1">
                  <c:v>-20505</c:v>
                </c:pt>
                <c:pt idx="2">
                  <c:v>43350</c:v>
                </c:pt>
                <c:pt idx="3">
                  <c:v>36520</c:v>
                </c:pt>
                <c:pt idx="4">
                  <c:v>131865</c:v>
                </c:pt>
                <c:pt idx="5">
                  <c:v>141525</c:v>
                </c:pt>
                <c:pt idx="6">
                  <c:v>88155</c:v>
                </c:pt>
                <c:pt idx="7">
                  <c:v>203205</c:v>
                </c:pt>
                <c:pt idx="8">
                  <c:v>167735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'HELPER TABLE'!$I$4:$I$12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022-4117-9D99-FFDF3FB6034B}"/>
            </c:ext>
          </c:extLst>
        </c:ser>
        <c:ser>
          <c:idx val="4"/>
          <c:order val="4"/>
          <c:tx>
            <c:strRef>
              <c:f>'HELPER TABLE'!$L$2:$L$3</c:f>
              <c:strCache>
                <c:ptCount val="2"/>
                <c:pt idx="0">
                  <c:v>3. PROFIT TREND</c:v>
                </c:pt>
                <c:pt idx="1">
                  <c:v>Net Profit</c:v>
                </c:pt>
              </c:strCache>
            </c:strRef>
          </c:tx>
          <c:invertIfNegative val="0"/>
          <c:val>
            <c:numRef>
              <c:f>'HELPER TABLE'!$L$4:$L$12</c:f>
              <c:numCache>
                <c:formatCode>"₹"#,##0_);[Red]\("₹"#,##0\)</c:formatCode>
                <c:ptCount val="9"/>
                <c:pt idx="0">
                  <c:v>-78825</c:v>
                </c:pt>
                <c:pt idx="1">
                  <c:v>-74513</c:v>
                </c:pt>
                <c:pt idx="2">
                  <c:v>-13225</c:v>
                </c:pt>
                <c:pt idx="3">
                  <c:v>-22100</c:v>
                </c:pt>
                <c:pt idx="4">
                  <c:v>53372</c:v>
                </c:pt>
                <c:pt idx="5">
                  <c:v>58584</c:v>
                </c:pt>
                <c:pt idx="6">
                  <c:v>18741</c:v>
                </c:pt>
                <c:pt idx="7">
                  <c:v>102947</c:v>
                </c:pt>
                <c:pt idx="8">
                  <c:v>74691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'HELPER TABLE'!$I$4:$I$12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022-4117-9D99-FFDF3FB60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&quot;₹&quot;#,##0_);[Red]\(&quot;₹&quot;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Budget vs Actual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Dashboard!$Q$28</c:f>
              <c:strCache>
                <c:ptCount val="1"/>
                <c:pt idx="0">
                  <c:v>3135800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Dashboard!$Q$29:$Q$33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Dashboard!$P$29:$P$33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551-4FF1-A515-FC685226F265}"/>
            </c:ext>
          </c:extLst>
        </c:ser>
        <c:ser>
          <c:idx val="1"/>
          <c:order val="1"/>
          <c:tx>
            <c:strRef>
              <c:f>Dashboard!$R$28</c:f>
              <c:strCache>
                <c:ptCount val="1"/>
                <c:pt idx="0">
                  <c:v>2850700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Dashboard!$R$29:$R$33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Dashboard!$P$29:$P$33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551-4FF1-A515-FC685226F265}"/>
            </c:ext>
          </c:extLst>
        </c:ser>
        <c:ser>
          <c:idx val="2"/>
          <c:order val="2"/>
          <c:tx>
            <c:strRef>
              <c:f>'HELPER TABLE'!$O$2:$O$3</c:f>
              <c:strCache>
                <c:ptCount val="2"/>
                <c:pt idx="0">
                  <c:v>4. EXPENSE DISTRIBUTION</c:v>
                </c:pt>
                <c:pt idx="1">
                  <c:v>Amount</c:v>
                </c:pt>
              </c:strCache>
            </c:strRef>
          </c:tx>
          <c:invertIfNegative val="0"/>
          <c:val>
            <c:numRef>
              <c:f>'HELPER TABLE'!$O$4:$O$11</c:f>
              <c:numCache>
                <c:formatCode>"₹"#,##0_);[Red]\("₹"#,##0\)</c:formatCode>
                <c:ptCount val="8"/>
                <c:pt idx="0">
                  <c:v>9457400</c:v>
                </c:pt>
                <c:pt idx="1">
                  <c:v>2167500</c:v>
                </c:pt>
                <c:pt idx="2">
                  <c:v>1839100</c:v>
                </c:pt>
                <c:pt idx="3">
                  <c:v>853900</c:v>
                </c:pt>
                <c:pt idx="4">
                  <c:v>1510500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'HELPER TABLE'!$N$4:$N$11</c15:sqref>
                        </c15:formulaRef>
                      </c:ext>
                    </c:extLst>
                    <c:strCache>
                      <c:ptCount val="8"/>
                      <c:pt idx="0">
                        <c:v>Employee Costs</c:v>
                      </c:pt>
                      <c:pt idx="1">
                        <c:v>Infrastructure</c:v>
                      </c:pt>
                      <c:pt idx="2">
                        <c:v>Marketing</c:v>
                      </c:pt>
                      <c:pt idx="3">
                        <c:v>Travel</c:v>
                      </c:pt>
                      <c:pt idx="4">
                        <c:v>Software</c:v>
                      </c:pt>
                      <c:pt idx="5">
                        <c:v>Professional Fees</c:v>
                      </c:pt>
                      <c:pt idx="6">
                        <c:v>Office Expenses</c:v>
                      </c:pt>
                      <c:pt idx="7">
                        <c:v>Other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8D5-4F66-82AE-D751DB981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&quot;₹&quot;#,##0_);[Red]\(&quot;₹&quot;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'HELPER TABLE'!$C$2:$C$3</c:f>
              <c:strCache>
                <c:ptCount val="2"/>
                <c:pt idx="0">
                  <c:v>1. MONTHLY REVENUE</c:v>
                </c:pt>
                <c:pt idx="1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'HELPER TABLE'!$B$4:$B$15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'HELPER TABLE'!$C$4:$C$15</c:f>
              <c:numCache>
                <c:formatCode>"₹"#,##0_);[Red]\("₹"#,##0\)</c:formatCode>
                <c:ptCount val="12"/>
                <c:pt idx="0">
                  <c:v>2059800</c:v>
                </c:pt>
                <c:pt idx="1">
                  <c:v>2160300</c:v>
                </c:pt>
                <c:pt idx="2">
                  <c:v>2263000</c:v>
                </c:pt>
                <c:pt idx="3">
                  <c:v>2344800</c:v>
                </c:pt>
                <c:pt idx="4">
                  <c:v>2428100</c:v>
                </c:pt>
                <c:pt idx="5">
                  <c:v>2536500</c:v>
                </c:pt>
                <c:pt idx="6">
                  <c:v>2526700</c:v>
                </c:pt>
                <c:pt idx="7">
                  <c:v>2637700</c:v>
                </c:pt>
                <c:pt idx="8">
                  <c:v>2725900</c:v>
                </c:pt>
                <c:pt idx="9">
                  <c:v>2815700</c:v>
                </c:pt>
                <c:pt idx="10">
                  <c:v>2957800</c:v>
                </c:pt>
                <c:pt idx="11">
                  <c:v>3154500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7F5-9D98-26D6B3647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356832"/>
        <c:axId val="693235392"/>
      </c:barChart>
      <c:dateAx>
        <c:axId val="765356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35392"/>
        <c:crosses val="autoZero"/>
        <c:auto val="1"/>
        <c:lblOffset val="100"/>
        <c:baseTimeUnit val="months"/>
      </c:dateAx>
      <c:valAx>
        <c:axId val="6932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5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'HELPER TABLE'!$C$20:$C$21</c:f>
              <c:strCache>
                <c:ptCount val="2"/>
                <c:pt idx="0">
                  <c:v>6. CLOSING CASH TREND</c:v>
                </c:pt>
                <c:pt idx="1">
                  <c:v>Closing 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'HELPER TABLE'!$B$22:$B$33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'HELPER TABLE'!$C$22:$C$33</c:f>
              <c:numCache>
                <c:formatCode>"₹"#,##0_);[Red]\("₹"#,##0\)</c:formatCode>
                <c:ptCount val="12"/>
                <c:pt idx="0">
                  <c:v>5645506.96</c:v>
                </c:pt>
                <c:pt idx="1">
                  <c:v>6337875.96</c:v>
                </c:pt>
                <c:pt idx="2">
                  <c:v>7282949.9600000009</c:v>
                </c:pt>
                <c:pt idx="3">
                  <c:v>8103949.9600000009</c:v>
                </c:pt>
                <c:pt idx="4">
                  <c:v>8801828.9600000009</c:v>
                </c:pt>
                <c:pt idx="5">
                  <c:v>9798551.9600000009</c:v>
                </c:pt>
                <c:pt idx="6">
                  <c:v>10747636.960000001</c:v>
                </c:pt>
                <c:pt idx="7">
                  <c:v>11994287.960000001</c:v>
                </c:pt>
                <c:pt idx="8">
                  <c:v>13090808.960000001</c:v>
                </c:pt>
                <c:pt idx="9">
                  <c:v>14058195.960000001</c:v>
                </c:pt>
                <c:pt idx="10">
                  <c:v>15322961.960000001</c:v>
                </c:pt>
                <c:pt idx="11">
                  <c:v>16720560.960000001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4-405B-B0E5-755DC3FBD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645136"/>
        <c:axId val="693237312"/>
      </c:barChart>
      <c:dateAx>
        <c:axId val="829645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37312"/>
        <c:crosses val="autoZero"/>
        <c:auto val="1"/>
        <c:lblOffset val="100"/>
        <c:baseTimeUnit val="months"/>
      </c:dateAx>
      <c:valAx>
        <c:axId val="69323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4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733425</xdr:colOff>
      <xdr:row>24</xdr:row>
      <xdr:rowOff>19050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238125</xdr:colOff>
      <xdr:row>24</xdr:row>
      <xdr:rowOff>66675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390525</xdr:colOff>
      <xdr:row>41</xdr:row>
      <xdr:rowOff>9525</xdr:rowOff>
    </xdr:from>
    <xdr:ext cx="468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0</xdr:col>
      <xdr:colOff>581025</xdr:colOff>
      <xdr:row>24</xdr:row>
      <xdr:rowOff>9525</xdr:rowOff>
    </xdr:from>
    <xdr:to>
      <xdr:col>2</xdr:col>
      <xdr:colOff>2352675</xdr:colOff>
      <xdr:row>38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5FF6F7-3557-43EC-ACF5-3A5ADB532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10</xdr:col>
      <xdr:colOff>390525</xdr:colOff>
      <xdr:row>55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08C1AF-2116-41D6-85C4-18AAC2AE0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U32"/>
  <sheetViews>
    <sheetView showGridLines="0" tabSelected="1" workbookViewId="0">
      <pane ySplit="7" topLeftCell="A20" activePane="bottomLeft" state="frozen"/>
      <selection pane="bottomLeft" activeCell="B4" sqref="B4"/>
    </sheetView>
  </sheetViews>
  <sheetFormatPr defaultRowHeight="15" x14ac:dyDescent="0.25"/>
  <cols>
    <col min="1" max="1" width="24" customWidth="1"/>
    <col min="2" max="2" width="18" customWidth="1"/>
    <col min="3" max="3" width="35.42578125" customWidth="1"/>
    <col min="4" max="9" width="18" customWidth="1"/>
    <col min="10" max="10" width="8.7109375" customWidth="1"/>
    <col min="11" max="11" width="18" customWidth="1"/>
    <col min="13" max="13" width="35.140625" customWidth="1"/>
    <col min="16" max="21" width="13" hidden="1" customWidth="1"/>
  </cols>
  <sheetData>
    <row r="1" spans="1:21" ht="33.950000000000003" customHeight="1" x14ac:dyDescent="0.35">
      <c r="A1" s="54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21" x14ac:dyDescent="0.25"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</row>
    <row r="3" spans="1:21" ht="15.75" x14ac:dyDescent="0.25">
      <c r="A3" s="2" t="s">
        <v>7</v>
      </c>
      <c r="P3" s="3">
        <f>Monthly_PnL!A3</f>
        <v>45658</v>
      </c>
      <c r="Q3" s="1">
        <f>Monthly_PnL!B3</f>
        <v>2059800</v>
      </c>
      <c r="R3" s="1">
        <f>Monthly_PnL!E3</f>
        <v>1366200</v>
      </c>
      <c r="S3" s="1">
        <f>Monthly_PnL!F3</f>
        <v>-27330</v>
      </c>
      <c r="T3" s="1">
        <f>Monthly_PnL!J3</f>
        <v>-78825</v>
      </c>
      <c r="U3" s="1">
        <f>CashFlow!L3</f>
        <v>6337875.96</v>
      </c>
    </row>
    <row r="4" spans="1:21" x14ac:dyDescent="0.25">
      <c r="A4" s="4" t="s">
        <v>8</v>
      </c>
      <c r="B4" s="43">
        <v>45931</v>
      </c>
      <c r="D4" s="55" t="s">
        <v>9</v>
      </c>
      <c r="E4" s="49"/>
      <c r="F4" s="49"/>
      <c r="G4" s="49"/>
      <c r="H4" s="49"/>
      <c r="I4" s="49"/>
      <c r="J4" s="49"/>
      <c r="K4" s="49"/>
      <c r="L4" s="49"/>
      <c r="M4" s="49"/>
      <c r="N4" s="49"/>
      <c r="P4" s="3">
        <f>Monthly_PnL!A4</f>
        <v>45689</v>
      </c>
      <c r="Q4" s="1">
        <f>Monthly_PnL!B4</f>
        <v>2160300</v>
      </c>
      <c r="R4" s="1">
        <f>Monthly_PnL!E4</f>
        <v>1424700</v>
      </c>
      <c r="S4" s="1">
        <f>Monthly_PnL!F4</f>
        <v>-20505</v>
      </c>
      <c r="T4" s="1">
        <f>Monthly_PnL!J4</f>
        <v>-74512.5</v>
      </c>
      <c r="U4" s="1">
        <f>CashFlow!L4</f>
        <v>7282949.9600000009</v>
      </c>
    </row>
    <row r="5" spans="1:21" x14ac:dyDescent="0.25">
      <c r="A5" s="4" t="s">
        <v>10</v>
      </c>
      <c r="B5" s="42" t="s">
        <v>412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P5" s="3">
        <f>Monthly_PnL!A5</f>
        <v>45717</v>
      </c>
      <c r="Q5" s="1">
        <f>Monthly_PnL!B5</f>
        <v>2263000</v>
      </c>
      <c r="R5" s="1">
        <f>Monthly_PnL!E5</f>
        <v>1427600</v>
      </c>
      <c r="S5" s="1">
        <f>Monthly_PnL!F5</f>
        <v>43350</v>
      </c>
      <c r="T5" s="1">
        <f>Monthly_PnL!J5</f>
        <v>-13225</v>
      </c>
      <c r="U5" s="1">
        <f>CashFlow!L5</f>
        <v>8103949.9600000009</v>
      </c>
    </row>
    <row r="6" spans="1:21" x14ac:dyDescent="0.25">
      <c r="A6" s="4" t="s">
        <v>12</v>
      </c>
      <c r="B6" s="44">
        <f>B4</f>
        <v>45931</v>
      </c>
      <c r="P6" s="3">
        <f>Monthly_PnL!A6</f>
        <v>45748</v>
      </c>
      <c r="Q6" s="1">
        <f>Monthly_PnL!B6</f>
        <v>2344800</v>
      </c>
      <c r="R6" s="1">
        <f>Monthly_PnL!E6</f>
        <v>1487600</v>
      </c>
      <c r="S6" s="1">
        <f>Monthly_PnL!F6</f>
        <v>36520</v>
      </c>
      <c r="T6" s="1">
        <f>Monthly_PnL!J6</f>
        <v>-22100</v>
      </c>
      <c r="U6" s="1">
        <f>CashFlow!L6</f>
        <v>8801828.9600000009</v>
      </c>
    </row>
    <row r="7" spans="1:21" x14ac:dyDescent="0.25">
      <c r="P7" s="3">
        <f>Monthly_PnL!A7</f>
        <v>45778</v>
      </c>
      <c r="Q7" s="1">
        <f>Monthly_PnL!B7</f>
        <v>2428100</v>
      </c>
      <c r="R7" s="1">
        <f>Monthly_PnL!E7</f>
        <v>1446400</v>
      </c>
      <c r="S7" s="1">
        <f>Monthly_PnL!F7</f>
        <v>131865</v>
      </c>
      <c r="T7" s="1">
        <f>Monthly_PnL!J7</f>
        <v>53371.875</v>
      </c>
      <c r="U7" s="1">
        <f>CashFlow!L7</f>
        <v>9798551.9600000009</v>
      </c>
    </row>
    <row r="8" spans="1:21" x14ac:dyDescent="0.25">
      <c r="A8" s="53" t="s">
        <v>2</v>
      </c>
      <c r="B8" s="51"/>
      <c r="D8" s="53" t="s">
        <v>13</v>
      </c>
      <c r="E8" s="51"/>
      <c r="G8" s="53" t="s">
        <v>4</v>
      </c>
      <c r="H8" s="51"/>
      <c r="J8" s="53" t="s">
        <v>5</v>
      </c>
      <c r="K8" s="51"/>
      <c r="P8" s="3">
        <f>Monthly_PnL!A8</f>
        <v>45809</v>
      </c>
      <c r="Q8" s="1">
        <f>Monthly_PnL!B8</f>
        <v>2536500</v>
      </c>
      <c r="R8" s="1">
        <f>Monthly_PnL!E8</f>
        <v>1507200</v>
      </c>
      <c r="S8" s="1">
        <f>Monthly_PnL!F8</f>
        <v>141525</v>
      </c>
      <c r="T8" s="1">
        <f>Monthly_PnL!J8</f>
        <v>58584.375</v>
      </c>
      <c r="U8" s="1">
        <f>CashFlow!L8</f>
        <v>10747636.960000001</v>
      </c>
    </row>
    <row r="9" spans="1:21" ht="19.5" x14ac:dyDescent="0.3">
      <c r="B9" s="52">
        <f>SUMIFS(Monthly_PnL!$B:$B,Monthly_PnL!$A:$A,$B$4)</f>
        <v>2815700</v>
      </c>
      <c r="C9" s="51"/>
      <c r="E9" s="52">
        <f>SUMIFS(Monthly_PnL!$E:$E,Monthly_PnL!$A:$A,$B$4)</f>
        <v>1575600</v>
      </c>
      <c r="F9" s="51"/>
      <c r="H9" s="52">
        <f>SUMIFS(Monthly_PnL!$F:$F,Monthly_PnL!$A:$A,$B$4)</f>
        <v>254605</v>
      </c>
      <c r="I9" s="51"/>
      <c r="K9" s="52">
        <f>SUMIFS(Monthly_PnL!$J:$J,Monthly_PnL!$A:$A,$B$4)</f>
        <v>138159.375</v>
      </c>
      <c r="L9" s="51"/>
      <c r="P9" s="3">
        <f>Monthly_PnL!A9</f>
        <v>45839</v>
      </c>
      <c r="Q9" s="1">
        <f>Monthly_PnL!B9</f>
        <v>2526700</v>
      </c>
      <c r="R9" s="1">
        <f>Monthly_PnL!E9</f>
        <v>1554200</v>
      </c>
      <c r="S9" s="1">
        <f>Monthly_PnL!F9</f>
        <v>88155</v>
      </c>
      <c r="T9" s="1">
        <f>Monthly_PnL!J9</f>
        <v>18740.625</v>
      </c>
      <c r="U9" s="1">
        <f>CashFlow!L9</f>
        <v>11994287.960000001</v>
      </c>
    </row>
    <row r="10" spans="1:21" x14ac:dyDescent="0.25">
      <c r="P10" s="3">
        <f>Monthly_PnL!A10</f>
        <v>45870</v>
      </c>
      <c r="Q10" s="1">
        <f>Monthly_PnL!B10</f>
        <v>2637700</v>
      </c>
      <c r="R10" s="1">
        <f>Monthly_PnL!E10</f>
        <v>1511300</v>
      </c>
      <c r="S10" s="1">
        <f>Monthly_PnL!F10</f>
        <v>203205</v>
      </c>
      <c r="T10" s="1">
        <f>Monthly_PnL!J10</f>
        <v>102946.875</v>
      </c>
      <c r="U10" s="1">
        <f>CashFlow!L10</f>
        <v>13090808.960000001</v>
      </c>
    </row>
    <row r="11" spans="1:21" x14ac:dyDescent="0.25">
      <c r="P11" s="3">
        <f>Monthly_PnL!A11</f>
        <v>45901</v>
      </c>
      <c r="Q11" s="1">
        <f>Monthly_PnL!B11</f>
        <v>2725900</v>
      </c>
      <c r="R11" s="1">
        <f>Monthly_PnL!E11</f>
        <v>1604100</v>
      </c>
      <c r="S11" s="1">
        <f>Monthly_PnL!F11</f>
        <v>167735</v>
      </c>
      <c r="T11" s="1">
        <f>Monthly_PnL!J11</f>
        <v>74690.625</v>
      </c>
      <c r="U11" s="1">
        <f>CashFlow!L11</f>
        <v>14058195.960000001</v>
      </c>
    </row>
    <row r="12" spans="1:21" x14ac:dyDescent="0.25">
      <c r="A12" s="53" t="s">
        <v>14</v>
      </c>
      <c r="B12" s="51"/>
      <c r="D12" s="53" t="s">
        <v>15</v>
      </c>
      <c r="E12" s="51"/>
      <c r="G12" s="53" t="s">
        <v>16</v>
      </c>
      <c r="H12" s="51"/>
      <c r="J12" s="53" t="s">
        <v>17</v>
      </c>
      <c r="K12" s="51"/>
      <c r="P12" s="3">
        <f>Monthly_PnL!A12</f>
        <v>45931</v>
      </c>
      <c r="Q12" s="1">
        <f>Monthly_PnL!B12</f>
        <v>2815700</v>
      </c>
      <c r="R12" s="1">
        <f>Monthly_PnL!E12</f>
        <v>1575600</v>
      </c>
      <c r="S12" s="1">
        <f>Monthly_PnL!F12</f>
        <v>254605</v>
      </c>
      <c r="T12" s="1">
        <f>Monthly_PnL!J12</f>
        <v>138159.375</v>
      </c>
      <c r="U12" s="1">
        <f>CashFlow!L12</f>
        <v>15322961.960000001</v>
      </c>
    </row>
    <row r="13" spans="1:21" ht="19.5" x14ac:dyDescent="0.3">
      <c r="B13" s="52">
        <f>INDEX(CashFlow!$L:$L,MATCH($B$4,CashFlow!$A:$A,0))</f>
        <v>14058195.960000001</v>
      </c>
      <c r="C13" s="51"/>
      <c r="E13" s="52">
        <f>SUM(AR_Aging!$G:$G)</f>
        <v>7524800</v>
      </c>
      <c r="F13" s="51"/>
      <c r="H13" s="52">
        <f>SUM(AP_Aging!$G:$G)</f>
        <v>4110600</v>
      </c>
      <c r="I13" s="51"/>
      <c r="K13" s="50">
        <f>INDEX(Working_Capital!$H:$H,MATCH($B$4,Working_Capital!$A:$A,0))</f>
        <v>5.2505707098720382</v>
      </c>
      <c r="L13" s="51"/>
      <c r="P13" s="3">
        <f>Monthly_PnL!A13</f>
        <v>45962</v>
      </c>
      <c r="Q13" s="1">
        <f>Monthly_PnL!B13</f>
        <v>2957800</v>
      </c>
      <c r="R13" s="1">
        <f>Monthly_PnL!E13</f>
        <v>1670400</v>
      </c>
      <c r="S13" s="1">
        <f>Monthly_PnL!F13</f>
        <v>252170</v>
      </c>
      <c r="T13" s="1">
        <f>Monthly_PnL!J13</f>
        <v>133668.75</v>
      </c>
      <c r="U13" s="1">
        <f>CashFlow!L13</f>
        <v>16720560.960000001</v>
      </c>
    </row>
    <row r="14" spans="1:21" x14ac:dyDescent="0.25">
      <c r="P14" s="3">
        <f>Monthly_PnL!A14</f>
        <v>45992</v>
      </c>
      <c r="Q14" s="1">
        <f>Monthly_PnL!B14</f>
        <v>3154500</v>
      </c>
      <c r="R14" s="1">
        <f>Monthly_PnL!E14</f>
        <v>1735800</v>
      </c>
      <c r="S14" s="1">
        <f>Monthly_PnL!F14</f>
        <v>314625</v>
      </c>
      <c r="T14" s="1">
        <f>Monthly_PnL!J14</f>
        <v>176821.875</v>
      </c>
      <c r="U14" s="1">
        <f>CashFlow!L14</f>
        <v>0</v>
      </c>
    </row>
    <row r="17" spans="1:18" ht="15.75" x14ac:dyDescent="0.25">
      <c r="A17" s="2" t="s">
        <v>18</v>
      </c>
      <c r="F17" s="2" t="s">
        <v>19</v>
      </c>
      <c r="K17" s="2" t="s">
        <v>30</v>
      </c>
    </row>
    <row r="18" spans="1:18" x14ac:dyDescent="0.25">
      <c r="A18" s="5" t="s">
        <v>20</v>
      </c>
      <c r="B18" s="5" t="s">
        <v>8</v>
      </c>
      <c r="C18" s="5" t="s">
        <v>21</v>
      </c>
      <c r="D18" s="5" t="s">
        <v>22</v>
      </c>
      <c r="F18" s="5" t="s">
        <v>10</v>
      </c>
      <c r="G18" s="5" t="s">
        <v>2</v>
      </c>
      <c r="H18" s="5" t="s">
        <v>4</v>
      </c>
      <c r="I18" s="5" t="s">
        <v>5</v>
      </c>
      <c r="K18" s="5" t="s">
        <v>32</v>
      </c>
      <c r="L18" s="5" t="s">
        <v>33</v>
      </c>
      <c r="M18" s="5" t="s">
        <v>34</v>
      </c>
      <c r="P18" t="s">
        <v>23</v>
      </c>
      <c r="Q18" t="s">
        <v>24</v>
      </c>
    </row>
    <row r="19" spans="1:18" x14ac:dyDescent="0.25">
      <c r="A19" s="6" t="s">
        <v>2</v>
      </c>
      <c r="B19" s="7">
        <f>SUMIFS(Monthly_PnL!$B:$B,Monthly_PnL!$A:$A,$B$4)</f>
        <v>2815700</v>
      </c>
      <c r="C19" s="7">
        <f>SUMIFS(Monthly_PnL!$B:$B,Monthly_PnL!$A:$A,"&gt;="&amp;DATE(YEAR($B$4),1,1),Monthly_PnL!$A:$A,"&lt;="&amp;$B$4)</f>
        <v>24498500</v>
      </c>
      <c r="D19" s="7">
        <f>SUM(Monthly_PnL!$B$3:$B$14)</f>
        <v>30610800</v>
      </c>
      <c r="F19" s="6" t="str">
        <f>Scenarios!A2</f>
        <v>Base</v>
      </c>
      <c r="G19" s="7">
        <f>Scenarios!D2</f>
        <v>3154500</v>
      </c>
      <c r="H19" s="7">
        <f>Scenarios!G2</f>
        <v>314625</v>
      </c>
      <c r="I19" s="7">
        <f>Scenarios!H2</f>
        <v>235968.75</v>
      </c>
      <c r="K19" s="6" t="s">
        <v>36</v>
      </c>
      <c r="L19" s="6" t="str">
        <f>IF(MAX(Budget!$E$2:$E$7)&gt;1,"HIGH",IF(MAX(Budget!$E$2:$E$7)&gt;0.9,"WATCH","OK"))</f>
        <v>WATCH</v>
      </c>
      <c r="M19" s="6" t="str">
        <f>IF(L19="HIGH","Review overspent departments",IF(L19="WATCH","Monitor departments nearing budget","No action"))</f>
        <v>Monitor departments nearing budget</v>
      </c>
      <c r="P19" t="s">
        <v>25</v>
      </c>
      <c r="Q19" s="1">
        <f>SUMIFS(Expenses!$E:$E,Expenses!$D:$D,P19)</f>
        <v>9457400</v>
      </c>
    </row>
    <row r="20" spans="1:18" x14ac:dyDescent="0.25">
      <c r="A20" s="6" t="s">
        <v>4</v>
      </c>
      <c r="B20" s="7">
        <f>SUMIFS(Monthly_PnL!$F:$F,Monthly_PnL!$A:$A,$B$4)</f>
        <v>254605</v>
      </c>
      <c r="C20" s="7">
        <f>SUMIFS(Monthly_PnL!$F:$F,Monthly_PnL!$A:$A,"&gt;="&amp;DATE(YEAR($B$4),1,1),Monthly_PnL!$A:$A,"&lt;="&amp;$B$4)</f>
        <v>1019125</v>
      </c>
      <c r="D20" s="7">
        <f>SUM(Monthly_PnL!$F$3:$F$14)</f>
        <v>1585920</v>
      </c>
      <c r="F20" s="6" t="str">
        <f>Scenarios!A3</f>
        <v>Upside</v>
      </c>
      <c r="G20" s="7">
        <f>Scenarios!D3</f>
        <v>3469950</v>
      </c>
      <c r="H20" s="7">
        <f>Scenarios!G3</f>
        <v>571741.50000000047</v>
      </c>
      <c r="I20" s="7">
        <f>Scenarios!H3</f>
        <v>428806.12500000029</v>
      </c>
      <c r="K20" s="6" t="s">
        <v>38</v>
      </c>
      <c r="L20" s="6" t="str">
        <f>IF(INDEX(Working_Capital!$H:$H,MATCH($B$4,Working_Capital!$A:$A,0))&lt;1,"HIGH",IF(INDEX(Working_Capital!$H:$H,MATCH($B$4,Working_Capital!$A:$A,0))&lt;1.5,"WATCH","OK"))</f>
        <v>OK</v>
      </c>
      <c r="M20" s="6" t="str">
        <f>IF(L20="HIGH","Protect cash and accelerate collections",IF(L20="WATCH","Monitor liquidity","No action"))</f>
        <v>No action</v>
      </c>
      <c r="P20" t="s">
        <v>26</v>
      </c>
      <c r="Q20" s="1">
        <f>SUMIFS(Expenses!$E:$E,Expenses!$D:$D,P20)</f>
        <v>2167500</v>
      </c>
    </row>
    <row r="21" spans="1:18" x14ac:dyDescent="0.25">
      <c r="A21" s="6" t="s">
        <v>5</v>
      </c>
      <c r="B21" s="7">
        <f>SUMIFS(Monthly_PnL!$J:$J,Monthly_PnL!$A:$A,$B$4)</f>
        <v>138159.375</v>
      </c>
      <c r="C21" s="7">
        <f>SUMIFS(Monthly_PnL!$J:$J,Monthly_PnL!$A:$A,"&gt;="&amp;DATE(YEAR($B$4),1,1),Monthly_PnL!$A:$A,"&lt;="&amp;$B$4)</f>
        <v>257831.25</v>
      </c>
      <c r="D21" s="7">
        <f>SUM(Monthly_PnL!$J$3:$J$14)</f>
        <v>568321.875</v>
      </c>
      <c r="F21" s="6" t="str">
        <f>Scenarios!A4</f>
        <v>Downside</v>
      </c>
      <c r="G21" s="7">
        <f>Scenarios!D4</f>
        <v>2839050</v>
      </c>
      <c r="H21" s="7">
        <f>Scenarios!G4</f>
        <v>-29281.500000000229</v>
      </c>
      <c r="I21" s="7">
        <f>Scenarios!H4</f>
        <v>-29281.500000000229</v>
      </c>
      <c r="K21" s="6" t="s">
        <v>39</v>
      </c>
      <c r="L21" s="6" t="str">
        <f>IF(COUNTIFS(AR_Aging!$I:$I,"&gt;90",AR_Aging!$G:$G,"&gt;0")&gt;0,"HIGH",IF(COUNTIFS(AR_Aging!$I:$I,"&gt;60",AR_Aging!$G:$G,"&gt;0")&gt;0,"WATCH","OK"))</f>
        <v>HIGH</v>
      </c>
      <c r="M21" s="6" t="str">
        <f>IF(L21="HIGH","Escalate 90+ day receivables",IF(L21="WATCH","Follow up overdue customers","No action"))</f>
        <v>Escalate 90+ day receivables</v>
      </c>
      <c r="P21" t="s">
        <v>27</v>
      </c>
      <c r="Q21" s="1">
        <f>SUMIFS(Expenses!$E:$E,Expenses!$D:$D,P21)</f>
        <v>1839100</v>
      </c>
    </row>
    <row r="22" spans="1:18" x14ac:dyDescent="0.25">
      <c r="K22" s="6" t="s">
        <v>40</v>
      </c>
      <c r="L22" s="6" t="str">
        <f>IF(SUM(Monthly_PnL!$J$3:$J$14)&lt;0,"HIGH",IF(AVERAGE(Monthly_PnL!$L$3:$L$14)&lt;0.1,"WATCH","OK"))</f>
        <v>WATCH</v>
      </c>
      <c r="M22" s="6" t="str">
        <f>IF(L22="HIGH","Review cost and revenue drivers",IF(L22="WATCH","Monitor net margin","No action"))</f>
        <v>Monitor net margin</v>
      </c>
      <c r="P22" t="s">
        <v>28</v>
      </c>
      <c r="Q22" s="1">
        <f>SUMIFS(Expenses!$E:$E,Expenses!$D:$D,P22)</f>
        <v>853900</v>
      </c>
    </row>
    <row r="23" spans="1:18" x14ac:dyDescent="0.25">
      <c r="P23" t="s">
        <v>29</v>
      </c>
      <c r="Q23" s="1">
        <f>SUMIFS(Expenses!$E:$E,Expenses!$D:$D,P23)</f>
        <v>1510500</v>
      </c>
    </row>
    <row r="24" spans="1:18" x14ac:dyDescent="0.25">
      <c r="P24" t="s">
        <v>31</v>
      </c>
      <c r="Q24" s="1">
        <f>SUMIFS(Expenses!$E:$E,Expenses!$D:$D,P24)</f>
        <v>0</v>
      </c>
    </row>
    <row r="25" spans="1:18" x14ac:dyDescent="0.25">
      <c r="P25" t="s">
        <v>35</v>
      </c>
      <c r="Q25" s="1">
        <f>SUMIFS(Expenses!$E:$E,Expenses!$D:$D,P25)</f>
        <v>0</v>
      </c>
    </row>
    <row r="26" spans="1:18" x14ac:dyDescent="0.25">
      <c r="P26" t="s">
        <v>37</v>
      </c>
      <c r="Q26" s="1">
        <f>SUMIFS(Expenses!$E:$E,Expenses!$D:$D,P26)</f>
        <v>0</v>
      </c>
    </row>
    <row r="27" spans="1:18" x14ac:dyDescent="0.25">
      <c r="P27" t="str">
        <f>Budget!A2</f>
        <v>Engineering</v>
      </c>
      <c r="Q27">
        <f>Budget!B2</f>
        <v>10809700</v>
      </c>
      <c r="R27">
        <f>Budget!C2</f>
        <v>10009000</v>
      </c>
    </row>
    <row r="28" spans="1:18" x14ac:dyDescent="0.25">
      <c r="P28" t="str">
        <f>Budget!A3</f>
        <v>IT</v>
      </c>
      <c r="Q28">
        <f>Budget!B3</f>
        <v>3135800</v>
      </c>
      <c r="R28">
        <f>Budget!C3</f>
        <v>2850700</v>
      </c>
    </row>
    <row r="29" spans="1:18" x14ac:dyDescent="0.25">
      <c r="P29" t="str">
        <f>Budget!A4</f>
        <v>Sales &amp; Marketing</v>
      </c>
      <c r="Q29">
        <f>Budget!B4</f>
        <v>1931100</v>
      </c>
      <c r="R29">
        <f>Budget!C4</f>
        <v>1839100</v>
      </c>
    </row>
    <row r="30" spans="1:18" ht="15.75" x14ac:dyDescent="0.25">
      <c r="A30" s="45"/>
      <c r="B30" s="46"/>
      <c r="P30" t="str">
        <f>Budget!A5</f>
        <v>Operations</v>
      </c>
      <c r="Q30">
        <f>Budget!B5</f>
        <v>913700</v>
      </c>
      <c r="R30">
        <f>Budget!C5</f>
        <v>853900</v>
      </c>
    </row>
    <row r="31" spans="1:18" x14ac:dyDescent="0.25">
      <c r="A31" s="46"/>
      <c r="B31" s="47"/>
      <c r="P31" t="str">
        <f>Budget!A6</f>
        <v>HR</v>
      </c>
      <c r="Q31">
        <f>Budget!B6</f>
        <v>1691800</v>
      </c>
      <c r="R31">
        <f>Budget!C6</f>
        <v>1510500</v>
      </c>
    </row>
    <row r="32" spans="1:18" x14ac:dyDescent="0.25">
      <c r="P32" t="str">
        <f>Budget!A7</f>
        <v>Finance &amp; Admin</v>
      </c>
      <c r="Q32">
        <f>Budget!B7</f>
        <v>1322800</v>
      </c>
      <c r="R32">
        <f>Budget!C7</f>
        <v>1247900</v>
      </c>
    </row>
  </sheetData>
  <mergeCells count="18">
    <mergeCell ref="G8:H8"/>
    <mergeCell ref="E13:F13"/>
    <mergeCell ref="K13:L13"/>
    <mergeCell ref="H13:I13"/>
    <mergeCell ref="H9:I9"/>
    <mergeCell ref="D12:E12"/>
    <mergeCell ref="A1:N1"/>
    <mergeCell ref="J12:K12"/>
    <mergeCell ref="A8:B8"/>
    <mergeCell ref="D4:N5"/>
    <mergeCell ref="K9:L9"/>
    <mergeCell ref="J8:K8"/>
    <mergeCell ref="A12:B12"/>
    <mergeCell ref="B9:C9"/>
    <mergeCell ref="D8:E8"/>
    <mergeCell ref="B13:C13"/>
    <mergeCell ref="E9:F9"/>
    <mergeCell ref="G12:H12"/>
  </mergeCells>
  <conditionalFormatting sqref="L19:L22">
    <cfRule type="expression" dxfId="2" priority="1">
      <formula>L19="HIGH"</formula>
    </cfRule>
    <cfRule type="expression" dxfId="1" priority="2">
      <formula>L19="WATCH"</formula>
    </cfRule>
  </conditionalFormatting>
  <dataValidations count="1">
    <dataValidation type="list" sqref="B5" xr:uid="{00000000-0002-0000-0000-000001000000}">
      <formula1>"Base,Upside,Downside"</formula1>
    </dataValidation>
  </dataValidations>
  <pageMargins left="0.75" right="0.75" top="1" bottom="1" header="0.5" footer="0.5"/>
  <pageSetup fitToHeight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Monthly_PnL!$A$3:$A$14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J49"/>
  <sheetViews>
    <sheetView showGridLines="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15" customWidth="1"/>
    <col min="2" max="2" width="21" customWidth="1"/>
    <col min="3" max="3" width="22" customWidth="1"/>
    <col min="4" max="4" width="12" customWidth="1"/>
    <col min="5" max="5" width="19" customWidth="1"/>
    <col min="6" max="7" width="12" customWidth="1"/>
  </cols>
  <sheetData>
    <row r="1" spans="1:10" x14ac:dyDescent="0.25">
      <c r="A1" s="11" t="s">
        <v>41</v>
      </c>
      <c r="B1" s="11" t="s">
        <v>42</v>
      </c>
      <c r="C1" s="11" t="s">
        <v>43</v>
      </c>
      <c r="D1" s="11" t="s">
        <v>44</v>
      </c>
      <c r="E1" s="11" t="s">
        <v>45</v>
      </c>
      <c r="F1" s="11" t="s">
        <v>2</v>
      </c>
      <c r="G1" s="11" t="s">
        <v>46</v>
      </c>
      <c r="H1" s="12" t="s">
        <v>47</v>
      </c>
      <c r="I1" s="12" t="s">
        <v>1</v>
      </c>
      <c r="J1" s="12" t="s">
        <v>48</v>
      </c>
    </row>
    <row r="2" spans="1:10" x14ac:dyDescent="0.25">
      <c r="A2" s="13" t="s">
        <v>49</v>
      </c>
      <c r="B2" s="14">
        <v>45658</v>
      </c>
      <c r="C2" s="13" t="s">
        <v>50</v>
      </c>
      <c r="D2" s="13" t="s">
        <v>51</v>
      </c>
      <c r="E2" s="13" t="s">
        <v>52</v>
      </c>
      <c r="F2" s="15">
        <v>833300</v>
      </c>
      <c r="G2" s="13" t="s">
        <v>53</v>
      </c>
      <c r="H2" s="6">
        <f t="shared" ref="H2:H49" si="0">YEAR(B2)</f>
        <v>2025</v>
      </c>
      <c r="I2" s="6" t="str">
        <f t="shared" ref="I2:I49" si="1">TEXT(B2,"mmm")</f>
        <v>Jan</v>
      </c>
      <c r="J2" s="6" t="str">
        <f t="shared" ref="J2:J49" si="2">"Q"&amp;ROUNDUP(MONTH(B2)/3,0)</f>
        <v>Q1</v>
      </c>
    </row>
    <row r="3" spans="1:10" x14ac:dyDescent="0.25">
      <c r="A3" s="13" t="s">
        <v>54</v>
      </c>
      <c r="B3" s="14">
        <v>45658</v>
      </c>
      <c r="C3" s="13" t="s">
        <v>55</v>
      </c>
      <c r="D3" s="13" t="s">
        <v>56</v>
      </c>
      <c r="E3" s="13" t="s">
        <v>57</v>
      </c>
      <c r="F3" s="15">
        <v>486400</v>
      </c>
      <c r="G3" s="13" t="s">
        <v>53</v>
      </c>
      <c r="H3" s="6">
        <f t="shared" si="0"/>
        <v>2025</v>
      </c>
      <c r="I3" s="6" t="str">
        <f t="shared" si="1"/>
        <v>Jan</v>
      </c>
      <c r="J3" s="6" t="str">
        <f t="shared" si="2"/>
        <v>Q1</v>
      </c>
    </row>
    <row r="4" spans="1:10" x14ac:dyDescent="0.25">
      <c r="A4" s="13" t="s">
        <v>58</v>
      </c>
      <c r="B4" s="14">
        <v>45658</v>
      </c>
      <c r="C4" s="13" t="s">
        <v>59</v>
      </c>
      <c r="D4" s="13" t="s">
        <v>60</v>
      </c>
      <c r="E4" s="13" t="s">
        <v>61</v>
      </c>
      <c r="F4" s="15">
        <v>406200</v>
      </c>
      <c r="G4" s="13" t="s">
        <v>53</v>
      </c>
      <c r="H4" s="6">
        <f t="shared" si="0"/>
        <v>2025</v>
      </c>
      <c r="I4" s="6" t="str">
        <f t="shared" si="1"/>
        <v>Jan</v>
      </c>
      <c r="J4" s="6" t="str">
        <f t="shared" si="2"/>
        <v>Q1</v>
      </c>
    </row>
    <row r="5" spans="1:10" x14ac:dyDescent="0.25">
      <c r="A5" s="13" t="s">
        <v>62</v>
      </c>
      <c r="B5" s="14">
        <v>45658</v>
      </c>
      <c r="C5" s="13" t="s">
        <v>63</v>
      </c>
      <c r="D5" s="13" t="s">
        <v>64</v>
      </c>
      <c r="E5" s="13" t="s">
        <v>52</v>
      </c>
      <c r="F5" s="15">
        <v>333900</v>
      </c>
      <c r="G5" s="13" t="s">
        <v>53</v>
      </c>
      <c r="H5" s="6">
        <f t="shared" si="0"/>
        <v>2025</v>
      </c>
      <c r="I5" s="6" t="str">
        <f t="shared" si="1"/>
        <v>Jan</v>
      </c>
      <c r="J5" s="6" t="str">
        <f t="shared" si="2"/>
        <v>Q1</v>
      </c>
    </row>
    <row r="6" spans="1:10" x14ac:dyDescent="0.25">
      <c r="A6" s="13" t="s">
        <v>65</v>
      </c>
      <c r="B6" s="14">
        <v>45689</v>
      </c>
      <c r="C6" s="13" t="s">
        <v>50</v>
      </c>
      <c r="D6" s="13" t="s">
        <v>56</v>
      </c>
      <c r="E6" s="13" t="s">
        <v>66</v>
      </c>
      <c r="F6" s="15">
        <v>874000</v>
      </c>
      <c r="G6" s="13" t="s">
        <v>53</v>
      </c>
      <c r="H6" s="6">
        <f t="shared" si="0"/>
        <v>2025</v>
      </c>
      <c r="I6" s="6" t="str">
        <f t="shared" si="1"/>
        <v>Feb</v>
      </c>
      <c r="J6" s="6" t="str">
        <f t="shared" si="2"/>
        <v>Q1</v>
      </c>
    </row>
    <row r="7" spans="1:10" x14ac:dyDescent="0.25">
      <c r="A7" s="13" t="s">
        <v>67</v>
      </c>
      <c r="B7" s="14">
        <v>45689</v>
      </c>
      <c r="C7" s="13" t="s">
        <v>55</v>
      </c>
      <c r="D7" s="13" t="s">
        <v>60</v>
      </c>
      <c r="E7" s="13" t="s">
        <v>68</v>
      </c>
      <c r="F7" s="15">
        <v>510100</v>
      </c>
      <c r="G7" s="13" t="s">
        <v>53</v>
      </c>
      <c r="H7" s="6">
        <f t="shared" si="0"/>
        <v>2025</v>
      </c>
      <c r="I7" s="6" t="str">
        <f t="shared" si="1"/>
        <v>Feb</v>
      </c>
      <c r="J7" s="6" t="str">
        <f t="shared" si="2"/>
        <v>Q1</v>
      </c>
    </row>
    <row r="8" spans="1:10" x14ac:dyDescent="0.25">
      <c r="A8" s="13" t="s">
        <v>69</v>
      </c>
      <c r="B8" s="14">
        <v>45689</v>
      </c>
      <c r="C8" s="13" t="s">
        <v>59</v>
      </c>
      <c r="D8" s="13" t="s">
        <v>64</v>
      </c>
      <c r="E8" s="13" t="s">
        <v>70</v>
      </c>
      <c r="F8" s="15">
        <v>426000</v>
      </c>
      <c r="G8" s="13" t="s">
        <v>53</v>
      </c>
      <c r="H8" s="6">
        <f t="shared" si="0"/>
        <v>2025</v>
      </c>
      <c r="I8" s="6" t="str">
        <f t="shared" si="1"/>
        <v>Feb</v>
      </c>
      <c r="J8" s="6" t="str">
        <f t="shared" si="2"/>
        <v>Q1</v>
      </c>
    </row>
    <row r="9" spans="1:10" x14ac:dyDescent="0.25">
      <c r="A9" s="13" t="s">
        <v>71</v>
      </c>
      <c r="B9" s="14">
        <v>45689</v>
      </c>
      <c r="C9" s="13" t="s">
        <v>63</v>
      </c>
      <c r="D9" s="13" t="s">
        <v>51</v>
      </c>
      <c r="E9" s="13" t="s">
        <v>66</v>
      </c>
      <c r="F9" s="15">
        <v>350200</v>
      </c>
      <c r="G9" s="13" t="s">
        <v>53</v>
      </c>
      <c r="H9" s="6">
        <f t="shared" si="0"/>
        <v>2025</v>
      </c>
      <c r="I9" s="6" t="str">
        <f t="shared" si="1"/>
        <v>Feb</v>
      </c>
      <c r="J9" s="6" t="str">
        <f t="shared" si="2"/>
        <v>Q1</v>
      </c>
    </row>
    <row r="10" spans="1:10" x14ac:dyDescent="0.25">
      <c r="A10" s="13" t="s">
        <v>72</v>
      </c>
      <c r="B10" s="14">
        <v>45717</v>
      </c>
      <c r="C10" s="13" t="s">
        <v>50</v>
      </c>
      <c r="D10" s="13" t="s">
        <v>60</v>
      </c>
      <c r="E10" s="13" t="s">
        <v>57</v>
      </c>
      <c r="F10" s="15">
        <v>915500</v>
      </c>
      <c r="G10" s="13" t="s">
        <v>53</v>
      </c>
      <c r="H10" s="6">
        <f t="shared" si="0"/>
        <v>2025</v>
      </c>
      <c r="I10" s="6" t="str">
        <f t="shared" si="1"/>
        <v>Mar</v>
      </c>
      <c r="J10" s="6" t="str">
        <f t="shared" si="2"/>
        <v>Q1</v>
      </c>
    </row>
    <row r="11" spans="1:10" x14ac:dyDescent="0.25">
      <c r="A11" s="13" t="s">
        <v>73</v>
      </c>
      <c r="B11" s="14">
        <v>45717</v>
      </c>
      <c r="C11" s="13" t="s">
        <v>55</v>
      </c>
      <c r="D11" s="13" t="s">
        <v>64</v>
      </c>
      <c r="E11" s="13" t="s">
        <v>61</v>
      </c>
      <c r="F11" s="15">
        <v>534300</v>
      </c>
      <c r="G11" s="13" t="s">
        <v>53</v>
      </c>
      <c r="H11" s="6">
        <f t="shared" si="0"/>
        <v>2025</v>
      </c>
      <c r="I11" s="6" t="str">
        <f t="shared" si="1"/>
        <v>Mar</v>
      </c>
      <c r="J11" s="6" t="str">
        <f t="shared" si="2"/>
        <v>Q1</v>
      </c>
    </row>
    <row r="12" spans="1:10" x14ac:dyDescent="0.25">
      <c r="A12" s="13" t="s">
        <v>74</v>
      </c>
      <c r="B12" s="14">
        <v>45717</v>
      </c>
      <c r="C12" s="13" t="s">
        <v>59</v>
      </c>
      <c r="D12" s="13" t="s">
        <v>51</v>
      </c>
      <c r="E12" s="13" t="s">
        <v>52</v>
      </c>
      <c r="F12" s="15">
        <v>446300</v>
      </c>
      <c r="G12" s="13" t="s">
        <v>53</v>
      </c>
      <c r="H12" s="6">
        <f t="shared" si="0"/>
        <v>2025</v>
      </c>
      <c r="I12" s="6" t="str">
        <f t="shared" si="1"/>
        <v>Mar</v>
      </c>
      <c r="J12" s="6" t="str">
        <f t="shared" si="2"/>
        <v>Q1</v>
      </c>
    </row>
    <row r="13" spans="1:10" x14ac:dyDescent="0.25">
      <c r="A13" s="13" t="s">
        <v>75</v>
      </c>
      <c r="B13" s="14">
        <v>45717</v>
      </c>
      <c r="C13" s="13" t="s">
        <v>63</v>
      </c>
      <c r="D13" s="13" t="s">
        <v>56</v>
      </c>
      <c r="E13" s="13" t="s">
        <v>57</v>
      </c>
      <c r="F13" s="15">
        <v>366900</v>
      </c>
      <c r="G13" s="13" t="s">
        <v>53</v>
      </c>
      <c r="H13" s="6">
        <f t="shared" si="0"/>
        <v>2025</v>
      </c>
      <c r="I13" s="6" t="str">
        <f t="shared" si="1"/>
        <v>Mar</v>
      </c>
      <c r="J13" s="6" t="str">
        <f t="shared" si="2"/>
        <v>Q1</v>
      </c>
    </row>
    <row r="14" spans="1:10" x14ac:dyDescent="0.25">
      <c r="A14" s="13" t="s">
        <v>76</v>
      </c>
      <c r="B14" s="14">
        <v>45748</v>
      </c>
      <c r="C14" s="13" t="s">
        <v>50</v>
      </c>
      <c r="D14" s="13" t="s">
        <v>64</v>
      </c>
      <c r="E14" s="13" t="s">
        <v>68</v>
      </c>
      <c r="F14" s="15">
        <v>948600</v>
      </c>
      <c r="G14" s="13" t="s">
        <v>53</v>
      </c>
      <c r="H14" s="6">
        <f t="shared" si="0"/>
        <v>2025</v>
      </c>
      <c r="I14" s="6" t="str">
        <f t="shared" si="1"/>
        <v>Apr</v>
      </c>
      <c r="J14" s="6" t="str">
        <f t="shared" si="2"/>
        <v>Q2</v>
      </c>
    </row>
    <row r="15" spans="1:10" x14ac:dyDescent="0.25">
      <c r="A15" s="13" t="s">
        <v>77</v>
      </c>
      <c r="B15" s="14">
        <v>45748</v>
      </c>
      <c r="C15" s="13" t="s">
        <v>55</v>
      </c>
      <c r="D15" s="13" t="s">
        <v>51</v>
      </c>
      <c r="E15" s="13" t="s">
        <v>70</v>
      </c>
      <c r="F15" s="15">
        <v>553700</v>
      </c>
      <c r="G15" s="13" t="s">
        <v>53</v>
      </c>
      <c r="H15" s="6">
        <f t="shared" si="0"/>
        <v>2025</v>
      </c>
      <c r="I15" s="6" t="str">
        <f t="shared" si="1"/>
        <v>Apr</v>
      </c>
      <c r="J15" s="6" t="str">
        <f t="shared" si="2"/>
        <v>Q2</v>
      </c>
    </row>
    <row r="16" spans="1:10" x14ac:dyDescent="0.25">
      <c r="A16" s="13" t="s">
        <v>78</v>
      </c>
      <c r="B16" s="14">
        <v>45748</v>
      </c>
      <c r="C16" s="13" t="s">
        <v>59</v>
      </c>
      <c r="D16" s="13" t="s">
        <v>56</v>
      </c>
      <c r="E16" s="13" t="s">
        <v>66</v>
      </c>
      <c r="F16" s="15">
        <v>462400</v>
      </c>
      <c r="G16" s="13" t="s">
        <v>53</v>
      </c>
      <c r="H16" s="6">
        <f t="shared" si="0"/>
        <v>2025</v>
      </c>
      <c r="I16" s="6" t="str">
        <f t="shared" si="1"/>
        <v>Apr</v>
      </c>
      <c r="J16" s="6" t="str">
        <f t="shared" si="2"/>
        <v>Q2</v>
      </c>
    </row>
    <row r="17" spans="1:10" x14ac:dyDescent="0.25">
      <c r="A17" s="13" t="s">
        <v>79</v>
      </c>
      <c r="B17" s="14">
        <v>45748</v>
      </c>
      <c r="C17" s="13" t="s">
        <v>63</v>
      </c>
      <c r="D17" s="13" t="s">
        <v>60</v>
      </c>
      <c r="E17" s="13" t="s">
        <v>68</v>
      </c>
      <c r="F17" s="15">
        <v>380100</v>
      </c>
      <c r="G17" s="13" t="s">
        <v>53</v>
      </c>
      <c r="H17" s="6">
        <f t="shared" si="0"/>
        <v>2025</v>
      </c>
      <c r="I17" s="6" t="str">
        <f t="shared" si="1"/>
        <v>Apr</v>
      </c>
      <c r="J17" s="6" t="str">
        <f t="shared" si="2"/>
        <v>Q2</v>
      </c>
    </row>
    <row r="18" spans="1:10" x14ac:dyDescent="0.25">
      <c r="A18" s="13" t="s">
        <v>80</v>
      </c>
      <c r="B18" s="14">
        <v>45778</v>
      </c>
      <c r="C18" s="13" t="s">
        <v>50</v>
      </c>
      <c r="D18" s="13" t="s">
        <v>51</v>
      </c>
      <c r="E18" s="13" t="s">
        <v>61</v>
      </c>
      <c r="F18" s="15">
        <v>982300</v>
      </c>
      <c r="G18" s="13" t="s">
        <v>53</v>
      </c>
      <c r="H18" s="6">
        <f t="shared" si="0"/>
        <v>2025</v>
      </c>
      <c r="I18" s="6" t="str">
        <f t="shared" si="1"/>
        <v>May</v>
      </c>
      <c r="J18" s="6" t="str">
        <f t="shared" si="2"/>
        <v>Q2</v>
      </c>
    </row>
    <row r="19" spans="1:10" x14ac:dyDescent="0.25">
      <c r="A19" s="13" t="s">
        <v>81</v>
      </c>
      <c r="B19" s="14">
        <v>45778</v>
      </c>
      <c r="C19" s="13" t="s">
        <v>55</v>
      </c>
      <c r="D19" s="13" t="s">
        <v>56</v>
      </c>
      <c r="E19" s="13" t="s">
        <v>52</v>
      </c>
      <c r="F19" s="15">
        <v>573300</v>
      </c>
      <c r="G19" s="13" t="s">
        <v>53</v>
      </c>
      <c r="H19" s="6">
        <f t="shared" si="0"/>
        <v>2025</v>
      </c>
      <c r="I19" s="6" t="str">
        <f t="shared" si="1"/>
        <v>May</v>
      </c>
      <c r="J19" s="6" t="str">
        <f t="shared" si="2"/>
        <v>Q2</v>
      </c>
    </row>
    <row r="20" spans="1:10" x14ac:dyDescent="0.25">
      <c r="A20" s="13" t="s">
        <v>82</v>
      </c>
      <c r="B20" s="14">
        <v>45778</v>
      </c>
      <c r="C20" s="13" t="s">
        <v>59</v>
      </c>
      <c r="D20" s="13" t="s">
        <v>60</v>
      </c>
      <c r="E20" s="13" t="s">
        <v>57</v>
      </c>
      <c r="F20" s="15">
        <v>478900</v>
      </c>
      <c r="G20" s="13" t="s">
        <v>53</v>
      </c>
      <c r="H20" s="6">
        <f t="shared" si="0"/>
        <v>2025</v>
      </c>
      <c r="I20" s="6" t="str">
        <f t="shared" si="1"/>
        <v>May</v>
      </c>
      <c r="J20" s="6" t="str">
        <f t="shared" si="2"/>
        <v>Q2</v>
      </c>
    </row>
    <row r="21" spans="1:10" x14ac:dyDescent="0.25">
      <c r="A21" s="13" t="s">
        <v>83</v>
      </c>
      <c r="B21" s="14">
        <v>45778</v>
      </c>
      <c r="C21" s="13" t="s">
        <v>63</v>
      </c>
      <c r="D21" s="13" t="s">
        <v>64</v>
      </c>
      <c r="E21" s="13" t="s">
        <v>61</v>
      </c>
      <c r="F21" s="15">
        <v>393600</v>
      </c>
      <c r="G21" s="13" t="s">
        <v>53</v>
      </c>
      <c r="H21" s="6">
        <f t="shared" si="0"/>
        <v>2025</v>
      </c>
      <c r="I21" s="6" t="str">
        <f t="shared" si="1"/>
        <v>May</v>
      </c>
      <c r="J21" s="6" t="str">
        <f t="shared" si="2"/>
        <v>Q2</v>
      </c>
    </row>
    <row r="22" spans="1:10" x14ac:dyDescent="0.25">
      <c r="A22" s="13" t="s">
        <v>84</v>
      </c>
      <c r="B22" s="14">
        <v>45809</v>
      </c>
      <c r="C22" s="13" t="s">
        <v>50</v>
      </c>
      <c r="D22" s="13" t="s">
        <v>56</v>
      </c>
      <c r="E22" s="13" t="s">
        <v>70</v>
      </c>
      <c r="F22" s="15">
        <v>1026200</v>
      </c>
      <c r="G22" s="13" t="s">
        <v>53</v>
      </c>
      <c r="H22" s="6">
        <f t="shared" si="0"/>
        <v>2025</v>
      </c>
      <c r="I22" s="6" t="str">
        <f t="shared" si="1"/>
        <v>Jun</v>
      </c>
      <c r="J22" s="6" t="str">
        <f t="shared" si="2"/>
        <v>Q2</v>
      </c>
    </row>
    <row r="23" spans="1:10" x14ac:dyDescent="0.25">
      <c r="A23" s="13" t="s">
        <v>85</v>
      </c>
      <c r="B23" s="14">
        <v>45809</v>
      </c>
      <c r="C23" s="13" t="s">
        <v>55</v>
      </c>
      <c r="D23" s="13" t="s">
        <v>60</v>
      </c>
      <c r="E23" s="13" t="s">
        <v>66</v>
      </c>
      <c r="F23" s="15">
        <v>598900</v>
      </c>
      <c r="G23" s="13" t="s">
        <v>53</v>
      </c>
      <c r="H23" s="6">
        <f t="shared" si="0"/>
        <v>2025</v>
      </c>
      <c r="I23" s="6" t="str">
        <f t="shared" si="1"/>
        <v>Jun</v>
      </c>
      <c r="J23" s="6" t="str">
        <f t="shared" si="2"/>
        <v>Q2</v>
      </c>
    </row>
    <row r="24" spans="1:10" x14ac:dyDescent="0.25">
      <c r="A24" s="13" t="s">
        <v>86</v>
      </c>
      <c r="B24" s="14">
        <v>45809</v>
      </c>
      <c r="C24" s="13" t="s">
        <v>59</v>
      </c>
      <c r="D24" s="13" t="s">
        <v>64</v>
      </c>
      <c r="E24" s="13" t="s">
        <v>68</v>
      </c>
      <c r="F24" s="15">
        <v>500200</v>
      </c>
      <c r="G24" s="13" t="s">
        <v>53</v>
      </c>
      <c r="H24" s="6">
        <f t="shared" si="0"/>
        <v>2025</v>
      </c>
      <c r="I24" s="6" t="str">
        <f t="shared" si="1"/>
        <v>Jun</v>
      </c>
      <c r="J24" s="6" t="str">
        <f t="shared" si="2"/>
        <v>Q2</v>
      </c>
    </row>
    <row r="25" spans="1:10" x14ac:dyDescent="0.25">
      <c r="A25" s="13" t="s">
        <v>87</v>
      </c>
      <c r="B25" s="14">
        <v>45809</v>
      </c>
      <c r="C25" s="13" t="s">
        <v>63</v>
      </c>
      <c r="D25" s="13" t="s">
        <v>51</v>
      </c>
      <c r="E25" s="13" t="s">
        <v>70</v>
      </c>
      <c r="F25" s="15">
        <v>411200</v>
      </c>
      <c r="G25" s="13" t="s">
        <v>53</v>
      </c>
      <c r="H25" s="6">
        <f t="shared" si="0"/>
        <v>2025</v>
      </c>
      <c r="I25" s="6" t="str">
        <f t="shared" si="1"/>
        <v>Jun</v>
      </c>
      <c r="J25" s="6" t="str">
        <f t="shared" si="2"/>
        <v>Q2</v>
      </c>
    </row>
    <row r="26" spans="1:10" x14ac:dyDescent="0.25">
      <c r="A26" s="13" t="s">
        <v>88</v>
      </c>
      <c r="B26" s="14">
        <v>45839</v>
      </c>
      <c r="C26" s="13" t="s">
        <v>50</v>
      </c>
      <c r="D26" s="13" t="s">
        <v>60</v>
      </c>
      <c r="E26" s="13" t="s">
        <v>52</v>
      </c>
      <c r="F26" s="15">
        <v>1022200</v>
      </c>
      <c r="G26" s="13" t="s">
        <v>53</v>
      </c>
      <c r="H26" s="6">
        <f t="shared" si="0"/>
        <v>2025</v>
      </c>
      <c r="I26" s="6" t="str">
        <f t="shared" si="1"/>
        <v>Jul</v>
      </c>
      <c r="J26" s="6" t="str">
        <f t="shared" si="2"/>
        <v>Q3</v>
      </c>
    </row>
    <row r="27" spans="1:10" x14ac:dyDescent="0.25">
      <c r="A27" s="13" t="s">
        <v>89</v>
      </c>
      <c r="B27" s="14">
        <v>45839</v>
      </c>
      <c r="C27" s="13" t="s">
        <v>55</v>
      </c>
      <c r="D27" s="13" t="s">
        <v>64</v>
      </c>
      <c r="E27" s="13" t="s">
        <v>57</v>
      </c>
      <c r="F27" s="15">
        <v>596600</v>
      </c>
      <c r="G27" s="13" t="s">
        <v>53</v>
      </c>
      <c r="H27" s="6">
        <f t="shared" si="0"/>
        <v>2025</v>
      </c>
      <c r="I27" s="6" t="str">
        <f t="shared" si="1"/>
        <v>Jul</v>
      </c>
      <c r="J27" s="6" t="str">
        <f t="shared" si="2"/>
        <v>Q3</v>
      </c>
    </row>
    <row r="28" spans="1:10" x14ac:dyDescent="0.25">
      <c r="A28" s="13" t="s">
        <v>90</v>
      </c>
      <c r="B28" s="14">
        <v>45839</v>
      </c>
      <c r="C28" s="13" t="s">
        <v>59</v>
      </c>
      <c r="D28" s="13" t="s">
        <v>51</v>
      </c>
      <c r="E28" s="13" t="s">
        <v>61</v>
      </c>
      <c r="F28" s="15">
        <v>498300</v>
      </c>
      <c r="G28" s="13" t="s">
        <v>53</v>
      </c>
      <c r="H28" s="6">
        <f t="shared" si="0"/>
        <v>2025</v>
      </c>
      <c r="I28" s="6" t="str">
        <f t="shared" si="1"/>
        <v>Jul</v>
      </c>
      <c r="J28" s="6" t="str">
        <f t="shared" si="2"/>
        <v>Q3</v>
      </c>
    </row>
    <row r="29" spans="1:10" x14ac:dyDescent="0.25">
      <c r="A29" s="13" t="s">
        <v>91</v>
      </c>
      <c r="B29" s="14">
        <v>45839</v>
      </c>
      <c r="C29" s="13" t="s">
        <v>63</v>
      </c>
      <c r="D29" s="13" t="s">
        <v>56</v>
      </c>
      <c r="E29" s="13" t="s">
        <v>52</v>
      </c>
      <c r="F29" s="15">
        <v>409600</v>
      </c>
      <c r="G29" s="13" t="s">
        <v>53</v>
      </c>
      <c r="H29" s="6">
        <f t="shared" si="0"/>
        <v>2025</v>
      </c>
      <c r="I29" s="6" t="str">
        <f t="shared" si="1"/>
        <v>Jul</v>
      </c>
      <c r="J29" s="6" t="str">
        <f t="shared" si="2"/>
        <v>Q3</v>
      </c>
    </row>
    <row r="30" spans="1:10" x14ac:dyDescent="0.25">
      <c r="A30" s="13" t="s">
        <v>92</v>
      </c>
      <c r="B30" s="14">
        <v>45870</v>
      </c>
      <c r="C30" s="13" t="s">
        <v>50</v>
      </c>
      <c r="D30" s="13" t="s">
        <v>64</v>
      </c>
      <c r="E30" s="13" t="s">
        <v>66</v>
      </c>
      <c r="F30" s="15">
        <v>1067100</v>
      </c>
      <c r="G30" s="13" t="s">
        <v>53</v>
      </c>
      <c r="H30" s="6">
        <f t="shared" si="0"/>
        <v>2025</v>
      </c>
      <c r="I30" s="6" t="str">
        <f t="shared" si="1"/>
        <v>Aug</v>
      </c>
      <c r="J30" s="6" t="str">
        <f t="shared" si="2"/>
        <v>Q3</v>
      </c>
    </row>
    <row r="31" spans="1:10" x14ac:dyDescent="0.25">
      <c r="A31" s="13" t="s">
        <v>93</v>
      </c>
      <c r="B31" s="14">
        <v>45870</v>
      </c>
      <c r="C31" s="13" t="s">
        <v>55</v>
      </c>
      <c r="D31" s="13" t="s">
        <v>51</v>
      </c>
      <c r="E31" s="13" t="s">
        <v>68</v>
      </c>
      <c r="F31" s="15">
        <v>622800</v>
      </c>
      <c r="G31" s="13" t="s">
        <v>53</v>
      </c>
      <c r="H31" s="6">
        <f t="shared" si="0"/>
        <v>2025</v>
      </c>
      <c r="I31" s="6" t="str">
        <f t="shared" si="1"/>
        <v>Aug</v>
      </c>
      <c r="J31" s="6" t="str">
        <f t="shared" si="2"/>
        <v>Q3</v>
      </c>
    </row>
    <row r="32" spans="1:10" x14ac:dyDescent="0.25">
      <c r="A32" s="13" t="s">
        <v>94</v>
      </c>
      <c r="B32" s="14">
        <v>45870</v>
      </c>
      <c r="C32" s="13" t="s">
        <v>59</v>
      </c>
      <c r="D32" s="13" t="s">
        <v>56</v>
      </c>
      <c r="E32" s="13" t="s">
        <v>70</v>
      </c>
      <c r="F32" s="15">
        <v>520200</v>
      </c>
      <c r="G32" s="13" t="s">
        <v>53</v>
      </c>
      <c r="H32" s="6">
        <f t="shared" si="0"/>
        <v>2025</v>
      </c>
      <c r="I32" s="6" t="str">
        <f t="shared" si="1"/>
        <v>Aug</v>
      </c>
      <c r="J32" s="6" t="str">
        <f t="shared" si="2"/>
        <v>Q3</v>
      </c>
    </row>
    <row r="33" spans="1:10" x14ac:dyDescent="0.25">
      <c r="A33" s="13" t="s">
        <v>95</v>
      </c>
      <c r="B33" s="14">
        <v>45870</v>
      </c>
      <c r="C33" s="13" t="s">
        <v>63</v>
      </c>
      <c r="D33" s="13" t="s">
        <v>60</v>
      </c>
      <c r="E33" s="13" t="s">
        <v>66</v>
      </c>
      <c r="F33" s="15">
        <v>427600</v>
      </c>
      <c r="G33" s="13" t="s">
        <v>53</v>
      </c>
      <c r="H33" s="6">
        <f t="shared" si="0"/>
        <v>2025</v>
      </c>
      <c r="I33" s="6" t="str">
        <f t="shared" si="1"/>
        <v>Aug</v>
      </c>
      <c r="J33" s="6" t="str">
        <f t="shared" si="2"/>
        <v>Q3</v>
      </c>
    </row>
    <row r="34" spans="1:10" x14ac:dyDescent="0.25">
      <c r="A34" s="13" t="s">
        <v>96</v>
      </c>
      <c r="B34" s="14">
        <v>45901</v>
      </c>
      <c r="C34" s="13" t="s">
        <v>50</v>
      </c>
      <c r="D34" s="13" t="s">
        <v>51</v>
      </c>
      <c r="E34" s="13" t="s">
        <v>57</v>
      </c>
      <c r="F34" s="15">
        <v>1102800</v>
      </c>
      <c r="G34" s="13" t="s">
        <v>53</v>
      </c>
      <c r="H34" s="6">
        <f t="shared" si="0"/>
        <v>2025</v>
      </c>
      <c r="I34" s="6" t="str">
        <f t="shared" si="1"/>
        <v>Sep</v>
      </c>
      <c r="J34" s="6" t="str">
        <f t="shared" si="2"/>
        <v>Q3</v>
      </c>
    </row>
    <row r="35" spans="1:10" x14ac:dyDescent="0.25">
      <c r="A35" s="13" t="s">
        <v>97</v>
      </c>
      <c r="B35" s="14">
        <v>45901</v>
      </c>
      <c r="C35" s="13" t="s">
        <v>55</v>
      </c>
      <c r="D35" s="13" t="s">
        <v>56</v>
      </c>
      <c r="E35" s="13" t="s">
        <v>61</v>
      </c>
      <c r="F35" s="15">
        <v>643600</v>
      </c>
      <c r="G35" s="13" t="s">
        <v>53</v>
      </c>
      <c r="H35" s="6">
        <f t="shared" si="0"/>
        <v>2025</v>
      </c>
      <c r="I35" s="6" t="str">
        <f t="shared" si="1"/>
        <v>Sep</v>
      </c>
      <c r="J35" s="6" t="str">
        <f t="shared" si="2"/>
        <v>Q3</v>
      </c>
    </row>
    <row r="36" spans="1:10" x14ac:dyDescent="0.25">
      <c r="A36" s="13" t="s">
        <v>98</v>
      </c>
      <c r="B36" s="14">
        <v>45901</v>
      </c>
      <c r="C36" s="13" t="s">
        <v>59</v>
      </c>
      <c r="D36" s="13" t="s">
        <v>60</v>
      </c>
      <c r="E36" s="13" t="s">
        <v>52</v>
      </c>
      <c r="F36" s="15">
        <v>537600</v>
      </c>
      <c r="G36" s="13" t="s">
        <v>53</v>
      </c>
      <c r="H36" s="6">
        <f t="shared" si="0"/>
        <v>2025</v>
      </c>
      <c r="I36" s="6" t="str">
        <f t="shared" si="1"/>
        <v>Sep</v>
      </c>
      <c r="J36" s="6" t="str">
        <f t="shared" si="2"/>
        <v>Q3</v>
      </c>
    </row>
    <row r="37" spans="1:10" x14ac:dyDescent="0.25">
      <c r="A37" s="13" t="s">
        <v>99</v>
      </c>
      <c r="B37" s="14">
        <v>45901</v>
      </c>
      <c r="C37" s="13" t="s">
        <v>63</v>
      </c>
      <c r="D37" s="13" t="s">
        <v>64</v>
      </c>
      <c r="E37" s="13" t="s">
        <v>57</v>
      </c>
      <c r="F37" s="15">
        <v>441900</v>
      </c>
      <c r="G37" s="13" t="s">
        <v>53</v>
      </c>
      <c r="H37" s="6">
        <f t="shared" si="0"/>
        <v>2025</v>
      </c>
      <c r="I37" s="6" t="str">
        <f t="shared" si="1"/>
        <v>Sep</v>
      </c>
      <c r="J37" s="6" t="str">
        <f t="shared" si="2"/>
        <v>Q3</v>
      </c>
    </row>
    <row r="38" spans="1:10" x14ac:dyDescent="0.25">
      <c r="A38" s="13" t="s">
        <v>100</v>
      </c>
      <c r="B38" s="14">
        <v>45931</v>
      </c>
      <c r="C38" s="13" t="s">
        <v>50</v>
      </c>
      <c r="D38" s="13" t="s">
        <v>56</v>
      </c>
      <c r="E38" s="13" t="s">
        <v>68</v>
      </c>
      <c r="F38" s="15">
        <v>1139100</v>
      </c>
      <c r="G38" s="13" t="s">
        <v>53</v>
      </c>
      <c r="H38" s="6">
        <f t="shared" si="0"/>
        <v>2025</v>
      </c>
      <c r="I38" s="6" t="str">
        <f t="shared" si="1"/>
        <v>Oct</v>
      </c>
      <c r="J38" s="6" t="str">
        <f t="shared" si="2"/>
        <v>Q4</v>
      </c>
    </row>
    <row r="39" spans="1:10" x14ac:dyDescent="0.25">
      <c r="A39" s="13" t="s">
        <v>101</v>
      </c>
      <c r="B39" s="14">
        <v>45931</v>
      </c>
      <c r="C39" s="13" t="s">
        <v>55</v>
      </c>
      <c r="D39" s="13" t="s">
        <v>60</v>
      </c>
      <c r="E39" s="13" t="s">
        <v>70</v>
      </c>
      <c r="F39" s="15">
        <v>664800</v>
      </c>
      <c r="G39" s="13" t="s">
        <v>53</v>
      </c>
      <c r="H39" s="6">
        <f t="shared" si="0"/>
        <v>2025</v>
      </c>
      <c r="I39" s="6" t="str">
        <f t="shared" si="1"/>
        <v>Oct</v>
      </c>
      <c r="J39" s="6" t="str">
        <f t="shared" si="2"/>
        <v>Q4</v>
      </c>
    </row>
    <row r="40" spans="1:10" x14ac:dyDescent="0.25">
      <c r="A40" s="13" t="s">
        <v>102</v>
      </c>
      <c r="B40" s="14">
        <v>45931</v>
      </c>
      <c r="C40" s="13" t="s">
        <v>59</v>
      </c>
      <c r="D40" s="13" t="s">
        <v>64</v>
      </c>
      <c r="E40" s="13" t="s">
        <v>66</v>
      </c>
      <c r="F40" s="15">
        <v>555300</v>
      </c>
      <c r="G40" s="13" t="s">
        <v>53</v>
      </c>
      <c r="H40" s="6">
        <f t="shared" si="0"/>
        <v>2025</v>
      </c>
      <c r="I40" s="6" t="str">
        <f t="shared" si="1"/>
        <v>Oct</v>
      </c>
      <c r="J40" s="6" t="str">
        <f t="shared" si="2"/>
        <v>Q4</v>
      </c>
    </row>
    <row r="41" spans="1:10" x14ac:dyDescent="0.25">
      <c r="A41" s="13" t="s">
        <v>103</v>
      </c>
      <c r="B41" s="14">
        <v>45931</v>
      </c>
      <c r="C41" s="13" t="s">
        <v>63</v>
      </c>
      <c r="D41" s="13" t="s">
        <v>51</v>
      </c>
      <c r="E41" s="13" t="s">
        <v>68</v>
      </c>
      <c r="F41" s="15">
        <v>456500</v>
      </c>
      <c r="G41" s="13" t="s">
        <v>53</v>
      </c>
      <c r="H41" s="6">
        <f t="shared" si="0"/>
        <v>2025</v>
      </c>
      <c r="I41" s="6" t="str">
        <f t="shared" si="1"/>
        <v>Oct</v>
      </c>
      <c r="J41" s="6" t="str">
        <f t="shared" si="2"/>
        <v>Q4</v>
      </c>
    </row>
    <row r="42" spans="1:10" x14ac:dyDescent="0.25">
      <c r="A42" s="13" t="s">
        <v>104</v>
      </c>
      <c r="B42" s="14">
        <v>45962</v>
      </c>
      <c r="C42" s="13" t="s">
        <v>50</v>
      </c>
      <c r="D42" s="13" t="s">
        <v>60</v>
      </c>
      <c r="E42" s="13" t="s">
        <v>61</v>
      </c>
      <c r="F42" s="15">
        <v>1196600</v>
      </c>
      <c r="G42" s="13" t="s">
        <v>53</v>
      </c>
      <c r="H42" s="6">
        <f t="shared" si="0"/>
        <v>2025</v>
      </c>
      <c r="I42" s="6" t="str">
        <f t="shared" si="1"/>
        <v>Nov</v>
      </c>
      <c r="J42" s="6" t="str">
        <f t="shared" si="2"/>
        <v>Q4</v>
      </c>
    </row>
    <row r="43" spans="1:10" x14ac:dyDescent="0.25">
      <c r="A43" s="13" t="s">
        <v>105</v>
      </c>
      <c r="B43" s="14">
        <v>45962</v>
      </c>
      <c r="C43" s="13" t="s">
        <v>55</v>
      </c>
      <c r="D43" s="13" t="s">
        <v>64</v>
      </c>
      <c r="E43" s="13" t="s">
        <v>52</v>
      </c>
      <c r="F43" s="15">
        <v>698400</v>
      </c>
      <c r="G43" s="13" t="s">
        <v>53</v>
      </c>
      <c r="H43" s="6">
        <f t="shared" si="0"/>
        <v>2025</v>
      </c>
      <c r="I43" s="6" t="str">
        <f t="shared" si="1"/>
        <v>Nov</v>
      </c>
      <c r="J43" s="6" t="str">
        <f t="shared" si="2"/>
        <v>Q4</v>
      </c>
    </row>
    <row r="44" spans="1:10" x14ac:dyDescent="0.25">
      <c r="A44" s="13" t="s">
        <v>106</v>
      </c>
      <c r="B44" s="14">
        <v>45962</v>
      </c>
      <c r="C44" s="13" t="s">
        <v>59</v>
      </c>
      <c r="D44" s="13" t="s">
        <v>51</v>
      </c>
      <c r="E44" s="13" t="s">
        <v>57</v>
      </c>
      <c r="F44" s="15">
        <v>583300</v>
      </c>
      <c r="G44" s="13" t="s">
        <v>53</v>
      </c>
      <c r="H44" s="6">
        <f t="shared" si="0"/>
        <v>2025</v>
      </c>
      <c r="I44" s="6" t="str">
        <f t="shared" si="1"/>
        <v>Nov</v>
      </c>
      <c r="J44" s="6" t="str">
        <f t="shared" si="2"/>
        <v>Q4</v>
      </c>
    </row>
    <row r="45" spans="1:10" x14ac:dyDescent="0.25">
      <c r="A45" s="13" t="s">
        <v>107</v>
      </c>
      <c r="B45" s="14">
        <v>45962</v>
      </c>
      <c r="C45" s="13" t="s">
        <v>63</v>
      </c>
      <c r="D45" s="13" t="s">
        <v>56</v>
      </c>
      <c r="E45" s="13" t="s">
        <v>61</v>
      </c>
      <c r="F45" s="15">
        <v>479500</v>
      </c>
      <c r="G45" s="13" t="s">
        <v>53</v>
      </c>
      <c r="H45" s="6">
        <f t="shared" si="0"/>
        <v>2025</v>
      </c>
      <c r="I45" s="6" t="str">
        <f t="shared" si="1"/>
        <v>Nov</v>
      </c>
      <c r="J45" s="6" t="str">
        <f t="shared" si="2"/>
        <v>Q4</v>
      </c>
    </row>
    <row r="46" spans="1:10" x14ac:dyDescent="0.25">
      <c r="A46" s="13" t="s">
        <v>108</v>
      </c>
      <c r="B46" s="14">
        <v>45992</v>
      </c>
      <c r="C46" s="13" t="s">
        <v>50</v>
      </c>
      <c r="D46" s="13" t="s">
        <v>64</v>
      </c>
      <c r="E46" s="13" t="s">
        <v>70</v>
      </c>
      <c r="F46" s="15">
        <v>1276200</v>
      </c>
      <c r="G46" s="13" t="s">
        <v>53</v>
      </c>
      <c r="H46" s="6">
        <f t="shared" si="0"/>
        <v>2025</v>
      </c>
      <c r="I46" s="6" t="str">
        <f t="shared" si="1"/>
        <v>Dec</v>
      </c>
      <c r="J46" s="6" t="str">
        <f t="shared" si="2"/>
        <v>Q4</v>
      </c>
    </row>
    <row r="47" spans="1:10" x14ac:dyDescent="0.25">
      <c r="A47" s="13" t="s">
        <v>109</v>
      </c>
      <c r="B47" s="14">
        <v>45992</v>
      </c>
      <c r="C47" s="13" t="s">
        <v>55</v>
      </c>
      <c r="D47" s="13" t="s">
        <v>51</v>
      </c>
      <c r="E47" s="13" t="s">
        <v>66</v>
      </c>
      <c r="F47" s="15">
        <v>744800</v>
      </c>
      <c r="G47" s="13" t="s">
        <v>53</v>
      </c>
      <c r="H47" s="6">
        <f t="shared" si="0"/>
        <v>2025</v>
      </c>
      <c r="I47" s="6" t="str">
        <f t="shared" si="1"/>
        <v>Dec</v>
      </c>
      <c r="J47" s="6" t="str">
        <f t="shared" si="2"/>
        <v>Q4</v>
      </c>
    </row>
    <row r="48" spans="1:10" x14ac:dyDescent="0.25">
      <c r="A48" s="13" t="s">
        <v>110</v>
      </c>
      <c r="B48" s="14">
        <v>45992</v>
      </c>
      <c r="C48" s="13" t="s">
        <v>59</v>
      </c>
      <c r="D48" s="13" t="s">
        <v>56</v>
      </c>
      <c r="E48" s="13" t="s">
        <v>68</v>
      </c>
      <c r="F48" s="15">
        <v>622100</v>
      </c>
      <c r="G48" s="13" t="s">
        <v>53</v>
      </c>
      <c r="H48" s="6">
        <f t="shared" si="0"/>
        <v>2025</v>
      </c>
      <c r="I48" s="6" t="str">
        <f t="shared" si="1"/>
        <v>Dec</v>
      </c>
      <c r="J48" s="6" t="str">
        <f t="shared" si="2"/>
        <v>Q4</v>
      </c>
    </row>
    <row r="49" spans="1:10" x14ac:dyDescent="0.25">
      <c r="A49" s="13" t="s">
        <v>111</v>
      </c>
      <c r="B49" s="14">
        <v>45992</v>
      </c>
      <c r="C49" s="13" t="s">
        <v>63</v>
      </c>
      <c r="D49" s="13" t="s">
        <v>60</v>
      </c>
      <c r="E49" s="13" t="s">
        <v>70</v>
      </c>
      <c r="F49" s="15">
        <v>511400</v>
      </c>
      <c r="G49" s="13" t="s">
        <v>53</v>
      </c>
      <c r="H49" s="6">
        <f t="shared" si="0"/>
        <v>2025</v>
      </c>
      <c r="I49" s="6" t="str">
        <f t="shared" si="1"/>
        <v>Dec</v>
      </c>
      <c r="J49" s="6" t="str">
        <f t="shared" si="2"/>
        <v>Q4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1:I97"/>
  <sheetViews>
    <sheetView showGridLines="0"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15" customWidth="1"/>
    <col min="2" max="2" width="21" customWidth="1"/>
    <col min="3" max="3" width="19" customWidth="1"/>
    <col min="4" max="5" width="16" customWidth="1"/>
    <col min="6" max="6" width="12" customWidth="1"/>
    <col min="9" max="9" width="17.42578125" customWidth="1"/>
    <col min="17" max="17" width="5.28515625" customWidth="1"/>
  </cols>
  <sheetData>
    <row r="1" spans="1:9" x14ac:dyDescent="0.25">
      <c r="A1" s="11" t="s">
        <v>112</v>
      </c>
      <c r="B1" s="11" t="s">
        <v>42</v>
      </c>
      <c r="C1" s="11" t="s">
        <v>113</v>
      </c>
      <c r="D1" s="11" t="s">
        <v>23</v>
      </c>
      <c r="E1" s="11" t="s">
        <v>114</v>
      </c>
      <c r="F1" s="11" t="s">
        <v>46</v>
      </c>
      <c r="G1" s="12" t="s">
        <v>47</v>
      </c>
      <c r="H1" s="12" t="s">
        <v>1</v>
      </c>
      <c r="I1" s="12" t="s">
        <v>48</v>
      </c>
    </row>
    <row r="2" spans="1:9" x14ac:dyDescent="0.25">
      <c r="A2" s="15" t="s">
        <v>115</v>
      </c>
      <c r="B2" s="14">
        <v>45658</v>
      </c>
      <c r="C2" s="13" t="s">
        <v>116</v>
      </c>
      <c r="D2" s="13" t="s">
        <v>25</v>
      </c>
      <c r="E2" s="15">
        <v>705600</v>
      </c>
      <c r="F2" s="13" t="s">
        <v>53</v>
      </c>
      <c r="G2" s="6">
        <f t="shared" ref="G2:G33" si="0">YEAR(B2)</f>
        <v>2025</v>
      </c>
      <c r="H2" s="6" t="str">
        <f t="shared" ref="H2:H33" si="1">TEXT(B2,"mmm")</f>
        <v>Jan</v>
      </c>
      <c r="I2" s="6" t="str">
        <f>IFERROR("Q"&amp;ROUNDUP(MONTH(B2)/3,0)," ")</f>
        <v>Q1</v>
      </c>
    </row>
    <row r="3" spans="1:9" x14ac:dyDescent="0.25">
      <c r="A3" s="15" t="s">
        <v>117</v>
      </c>
      <c r="B3" s="14">
        <v>45658</v>
      </c>
      <c r="C3" s="13" t="s">
        <v>118</v>
      </c>
      <c r="D3" s="13" t="s">
        <v>26</v>
      </c>
      <c r="E3" s="15">
        <v>161700</v>
      </c>
      <c r="F3" s="13" t="s">
        <v>53</v>
      </c>
      <c r="G3" s="6">
        <f t="shared" si="0"/>
        <v>2025</v>
      </c>
      <c r="H3" s="6" t="str">
        <f t="shared" si="1"/>
        <v>Jan</v>
      </c>
      <c r="I3" s="6" t="str">
        <f>IFERROR("Q"&amp;ROUNDUP(MONTH(B2)/3,0)," ")</f>
        <v>Q1</v>
      </c>
    </row>
    <row r="4" spans="1:9" x14ac:dyDescent="0.25">
      <c r="A4" s="15" t="s">
        <v>119</v>
      </c>
      <c r="B4" s="14">
        <v>45658</v>
      </c>
      <c r="C4" s="13" t="s">
        <v>120</v>
      </c>
      <c r="D4" s="13" t="s">
        <v>27</v>
      </c>
      <c r="E4" s="15">
        <v>137200</v>
      </c>
      <c r="F4" s="13" t="s">
        <v>53</v>
      </c>
      <c r="G4" s="6">
        <f t="shared" si="0"/>
        <v>2025</v>
      </c>
      <c r="H4" s="6" t="str">
        <f t="shared" si="1"/>
        <v>Jan</v>
      </c>
      <c r="I4" s="6" t="str">
        <f>IFERROR("Q"&amp;ROUNDUP(MONTH(B2)/3,0)," ")</f>
        <v>Q1</v>
      </c>
    </row>
    <row r="5" spans="1:9" x14ac:dyDescent="0.25">
      <c r="A5" s="15" t="s">
        <v>121</v>
      </c>
      <c r="B5" s="14">
        <v>45658</v>
      </c>
      <c r="C5" s="13" t="s">
        <v>122</v>
      </c>
      <c r="D5" s="13" t="s">
        <v>28</v>
      </c>
      <c r="E5" s="15">
        <v>63700</v>
      </c>
      <c r="F5" s="13" t="s">
        <v>53</v>
      </c>
      <c r="G5" s="6">
        <f t="shared" si="0"/>
        <v>2025</v>
      </c>
      <c r="H5" s="6" t="str">
        <f t="shared" si="1"/>
        <v>Jan</v>
      </c>
      <c r="I5" s="6" t="str">
        <f t="shared" ref="I5:I68" si="2">IFERROR("Q"&amp;ROUNDUP(MONTH(B3)/3,0)," ")</f>
        <v>Q1</v>
      </c>
    </row>
    <row r="6" spans="1:9" x14ac:dyDescent="0.25">
      <c r="A6" s="15" t="s">
        <v>123</v>
      </c>
      <c r="B6" s="14">
        <v>45658</v>
      </c>
      <c r="C6" s="13" t="s">
        <v>124</v>
      </c>
      <c r="D6" s="13" t="s">
        <v>29</v>
      </c>
      <c r="E6" s="15">
        <v>112700</v>
      </c>
      <c r="F6" s="13" t="s">
        <v>53</v>
      </c>
      <c r="G6" s="6">
        <f t="shared" si="0"/>
        <v>2025</v>
      </c>
      <c r="H6" s="6" t="str">
        <f t="shared" si="1"/>
        <v>Jan</v>
      </c>
      <c r="I6" s="6" t="str">
        <f t="shared" si="2"/>
        <v>Q1</v>
      </c>
    </row>
    <row r="7" spans="1:9" x14ac:dyDescent="0.25">
      <c r="A7" s="15" t="s">
        <v>125</v>
      </c>
      <c r="B7" s="14">
        <v>45658</v>
      </c>
      <c r="C7" s="13" t="s">
        <v>126</v>
      </c>
      <c r="D7" s="13" t="s">
        <v>122</v>
      </c>
      <c r="E7" s="15">
        <v>93100</v>
      </c>
      <c r="F7" s="13" t="s">
        <v>53</v>
      </c>
      <c r="G7" s="6">
        <f t="shared" si="0"/>
        <v>2025</v>
      </c>
      <c r="H7" s="6" t="str">
        <f t="shared" si="1"/>
        <v>Jan</v>
      </c>
      <c r="I7" s="6" t="str">
        <f t="shared" si="2"/>
        <v>Q1</v>
      </c>
    </row>
    <row r="8" spans="1:9" x14ac:dyDescent="0.25">
      <c r="A8" s="15" t="s">
        <v>127</v>
      </c>
      <c r="B8" s="14">
        <v>45658</v>
      </c>
      <c r="C8" s="13" t="s">
        <v>116</v>
      </c>
      <c r="D8" s="13" t="s">
        <v>128</v>
      </c>
      <c r="E8" s="15">
        <v>41200</v>
      </c>
      <c r="F8" s="13" t="s">
        <v>53</v>
      </c>
      <c r="G8" s="6">
        <f t="shared" si="0"/>
        <v>2025</v>
      </c>
      <c r="H8" s="6" t="str">
        <f t="shared" si="1"/>
        <v>Jan</v>
      </c>
      <c r="I8" s="6" t="str">
        <f t="shared" si="2"/>
        <v>Q1</v>
      </c>
    </row>
    <row r="9" spans="1:9" x14ac:dyDescent="0.25">
      <c r="A9" s="15" t="s">
        <v>129</v>
      </c>
      <c r="B9" s="14">
        <v>45658</v>
      </c>
      <c r="C9" s="13" t="s">
        <v>118</v>
      </c>
      <c r="D9" s="13" t="s">
        <v>130</v>
      </c>
      <c r="E9" s="15">
        <v>51000</v>
      </c>
      <c r="F9" s="13" t="s">
        <v>53</v>
      </c>
      <c r="G9" s="6">
        <f t="shared" si="0"/>
        <v>2025</v>
      </c>
      <c r="H9" s="6" t="str">
        <f t="shared" si="1"/>
        <v>Jan</v>
      </c>
      <c r="I9" s="6" t="str">
        <f t="shared" si="2"/>
        <v>Q1</v>
      </c>
    </row>
    <row r="10" spans="1:9" x14ac:dyDescent="0.25">
      <c r="A10" s="15" t="s">
        <v>131</v>
      </c>
      <c r="B10" s="14">
        <v>45689</v>
      </c>
      <c r="C10" s="13" t="s">
        <v>116</v>
      </c>
      <c r="D10" s="13" t="s">
        <v>25</v>
      </c>
      <c r="E10" s="15">
        <v>735900</v>
      </c>
      <c r="F10" s="13" t="s">
        <v>53</v>
      </c>
      <c r="G10" s="6">
        <f t="shared" si="0"/>
        <v>2025</v>
      </c>
      <c r="H10" s="6" t="str">
        <f t="shared" si="1"/>
        <v>Feb</v>
      </c>
      <c r="I10" s="6" t="str">
        <f t="shared" si="2"/>
        <v>Q1</v>
      </c>
    </row>
    <row r="11" spans="1:9" x14ac:dyDescent="0.25">
      <c r="A11" s="15" t="s">
        <v>132</v>
      </c>
      <c r="B11" s="14">
        <v>45689</v>
      </c>
      <c r="C11" s="13" t="s">
        <v>118</v>
      </c>
      <c r="D11" s="13" t="s">
        <v>26</v>
      </c>
      <c r="E11" s="15">
        <v>168600</v>
      </c>
      <c r="F11" s="13" t="s">
        <v>53</v>
      </c>
      <c r="G11" s="6">
        <f t="shared" si="0"/>
        <v>2025</v>
      </c>
      <c r="H11" s="6" t="str">
        <f t="shared" si="1"/>
        <v>Feb</v>
      </c>
      <c r="I11" s="6" t="str">
        <f t="shared" si="2"/>
        <v>Q1</v>
      </c>
    </row>
    <row r="12" spans="1:9" x14ac:dyDescent="0.25">
      <c r="A12" s="15" t="s">
        <v>133</v>
      </c>
      <c r="B12" s="14">
        <v>45689</v>
      </c>
      <c r="C12" s="13" t="s">
        <v>120</v>
      </c>
      <c r="D12" s="13" t="s">
        <v>27</v>
      </c>
      <c r="E12" s="15">
        <v>143100</v>
      </c>
      <c r="F12" s="13" t="s">
        <v>53</v>
      </c>
      <c r="G12" s="6">
        <f t="shared" si="0"/>
        <v>2025</v>
      </c>
      <c r="H12" s="6" t="str">
        <f t="shared" si="1"/>
        <v>Feb</v>
      </c>
      <c r="I12" s="6" t="str">
        <f t="shared" si="2"/>
        <v>Q1</v>
      </c>
    </row>
    <row r="13" spans="1:9" x14ac:dyDescent="0.25">
      <c r="A13" s="15" t="s">
        <v>134</v>
      </c>
      <c r="B13" s="14">
        <v>45689</v>
      </c>
      <c r="C13" s="13" t="s">
        <v>122</v>
      </c>
      <c r="D13" s="13" t="s">
        <v>28</v>
      </c>
      <c r="E13" s="15">
        <v>66400</v>
      </c>
      <c r="F13" s="13" t="s">
        <v>53</v>
      </c>
      <c r="G13" s="6">
        <f t="shared" si="0"/>
        <v>2025</v>
      </c>
      <c r="H13" s="6" t="str">
        <f t="shared" si="1"/>
        <v>Feb</v>
      </c>
      <c r="I13" s="6" t="str">
        <f t="shared" si="2"/>
        <v>Q1</v>
      </c>
    </row>
    <row r="14" spans="1:9" x14ac:dyDescent="0.25">
      <c r="A14" s="15" t="s">
        <v>135</v>
      </c>
      <c r="B14" s="14">
        <v>45689</v>
      </c>
      <c r="C14" s="13" t="s">
        <v>124</v>
      </c>
      <c r="D14" s="13" t="s">
        <v>29</v>
      </c>
      <c r="E14" s="15">
        <v>117500</v>
      </c>
      <c r="F14" s="13" t="s">
        <v>53</v>
      </c>
      <c r="G14" s="6">
        <f t="shared" si="0"/>
        <v>2025</v>
      </c>
      <c r="H14" s="6" t="str">
        <f t="shared" si="1"/>
        <v>Feb</v>
      </c>
      <c r="I14" s="6" t="str">
        <f t="shared" si="2"/>
        <v>Q1</v>
      </c>
    </row>
    <row r="15" spans="1:9" x14ac:dyDescent="0.25">
      <c r="A15" s="15" t="s">
        <v>136</v>
      </c>
      <c r="B15" s="14">
        <v>45689</v>
      </c>
      <c r="C15" s="13" t="s">
        <v>126</v>
      </c>
      <c r="D15" s="13" t="s">
        <v>122</v>
      </c>
      <c r="E15" s="15">
        <v>97100</v>
      </c>
      <c r="F15" s="13" t="s">
        <v>53</v>
      </c>
      <c r="G15" s="6">
        <f t="shared" si="0"/>
        <v>2025</v>
      </c>
      <c r="H15" s="6" t="str">
        <f t="shared" si="1"/>
        <v>Feb</v>
      </c>
      <c r="I15" s="6" t="str">
        <f t="shared" si="2"/>
        <v>Q1</v>
      </c>
    </row>
    <row r="16" spans="1:9" x14ac:dyDescent="0.25">
      <c r="A16" s="15" t="s">
        <v>137</v>
      </c>
      <c r="B16" s="14">
        <v>45689</v>
      </c>
      <c r="C16" s="13" t="s">
        <v>116</v>
      </c>
      <c r="D16" s="13" t="s">
        <v>128</v>
      </c>
      <c r="E16" s="15">
        <v>42900</v>
      </c>
      <c r="F16" s="13" t="s">
        <v>53</v>
      </c>
      <c r="G16" s="6">
        <f t="shared" si="0"/>
        <v>2025</v>
      </c>
      <c r="H16" s="6" t="str">
        <f t="shared" si="1"/>
        <v>Feb</v>
      </c>
      <c r="I16" s="6" t="str">
        <f t="shared" si="2"/>
        <v>Q1</v>
      </c>
    </row>
    <row r="17" spans="1:9" x14ac:dyDescent="0.25">
      <c r="A17" s="15" t="s">
        <v>138</v>
      </c>
      <c r="B17" s="14">
        <v>45689</v>
      </c>
      <c r="C17" s="13" t="s">
        <v>118</v>
      </c>
      <c r="D17" s="13" t="s">
        <v>130</v>
      </c>
      <c r="E17" s="15">
        <v>53200</v>
      </c>
      <c r="F17" s="13" t="s">
        <v>53</v>
      </c>
      <c r="G17" s="6">
        <f t="shared" si="0"/>
        <v>2025</v>
      </c>
      <c r="H17" s="6" t="str">
        <f t="shared" si="1"/>
        <v>Feb</v>
      </c>
      <c r="I17" s="6" t="str">
        <f t="shared" si="2"/>
        <v>Q1</v>
      </c>
    </row>
    <row r="18" spans="1:9" x14ac:dyDescent="0.25">
      <c r="A18" s="15" t="s">
        <v>139</v>
      </c>
      <c r="B18" s="14">
        <v>45717</v>
      </c>
      <c r="C18" s="13" t="s">
        <v>116</v>
      </c>
      <c r="D18" s="13" t="s">
        <v>25</v>
      </c>
      <c r="E18" s="15">
        <v>737300</v>
      </c>
      <c r="F18" s="13" t="s">
        <v>53</v>
      </c>
      <c r="G18" s="6">
        <f t="shared" si="0"/>
        <v>2025</v>
      </c>
      <c r="H18" s="6" t="str">
        <f t="shared" si="1"/>
        <v>Mar</v>
      </c>
      <c r="I18" s="6" t="str">
        <f t="shared" si="2"/>
        <v>Q1</v>
      </c>
    </row>
    <row r="19" spans="1:9" x14ac:dyDescent="0.25">
      <c r="A19" s="15" t="s">
        <v>140</v>
      </c>
      <c r="B19" s="14">
        <v>45717</v>
      </c>
      <c r="C19" s="13" t="s">
        <v>118</v>
      </c>
      <c r="D19" s="13" t="s">
        <v>26</v>
      </c>
      <c r="E19" s="15">
        <v>169000</v>
      </c>
      <c r="F19" s="13" t="s">
        <v>53</v>
      </c>
      <c r="G19" s="6">
        <f t="shared" si="0"/>
        <v>2025</v>
      </c>
      <c r="H19" s="6" t="str">
        <f t="shared" si="1"/>
        <v>Mar</v>
      </c>
      <c r="I19" s="6" t="str">
        <f t="shared" si="2"/>
        <v>Q1</v>
      </c>
    </row>
    <row r="20" spans="1:9" x14ac:dyDescent="0.25">
      <c r="A20" s="15" t="s">
        <v>141</v>
      </c>
      <c r="B20" s="14">
        <v>45717</v>
      </c>
      <c r="C20" s="13" t="s">
        <v>120</v>
      </c>
      <c r="D20" s="13" t="s">
        <v>27</v>
      </c>
      <c r="E20" s="15">
        <v>143400</v>
      </c>
      <c r="F20" s="13" t="s">
        <v>53</v>
      </c>
      <c r="G20" s="6">
        <f t="shared" si="0"/>
        <v>2025</v>
      </c>
      <c r="H20" s="6" t="str">
        <f t="shared" si="1"/>
        <v>Mar</v>
      </c>
      <c r="I20" s="6" t="str">
        <f t="shared" si="2"/>
        <v>Q1</v>
      </c>
    </row>
    <row r="21" spans="1:9" x14ac:dyDescent="0.25">
      <c r="A21" s="15" t="s">
        <v>142</v>
      </c>
      <c r="B21" s="14">
        <v>45717</v>
      </c>
      <c r="C21" s="13" t="s">
        <v>122</v>
      </c>
      <c r="D21" s="13" t="s">
        <v>28</v>
      </c>
      <c r="E21" s="15">
        <v>66600</v>
      </c>
      <c r="F21" s="13" t="s">
        <v>53</v>
      </c>
      <c r="G21" s="6">
        <f t="shared" si="0"/>
        <v>2025</v>
      </c>
      <c r="H21" s="6" t="str">
        <f t="shared" si="1"/>
        <v>Mar</v>
      </c>
      <c r="I21" s="6" t="str">
        <f t="shared" si="2"/>
        <v>Q1</v>
      </c>
    </row>
    <row r="22" spans="1:9" x14ac:dyDescent="0.25">
      <c r="A22" s="15" t="s">
        <v>143</v>
      </c>
      <c r="B22" s="14">
        <v>45717</v>
      </c>
      <c r="C22" s="13" t="s">
        <v>124</v>
      </c>
      <c r="D22" s="13" t="s">
        <v>29</v>
      </c>
      <c r="E22" s="15">
        <v>117800</v>
      </c>
      <c r="F22" s="13" t="s">
        <v>53</v>
      </c>
      <c r="G22" s="6">
        <f t="shared" si="0"/>
        <v>2025</v>
      </c>
      <c r="H22" s="6" t="str">
        <f t="shared" si="1"/>
        <v>Mar</v>
      </c>
      <c r="I22" s="6" t="str">
        <f t="shared" si="2"/>
        <v>Q1</v>
      </c>
    </row>
    <row r="23" spans="1:9" x14ac:dyDescent="0.25">
      <c r="A23" s="15" t="s">
        <v>144</v>
      </c>
      <c r="B23" s="14">
        <v>45717</v>
      </c>
      <c r="C23" s="13" t="s">
        <v>126</v>
      </c>
      <c r="D23" s="13" t="s">
        <v>122</v>
      </c>
      <c r="E23" s="15">
        <v>97300</v>
      </c>
      <c r="F23" s="13" t="s">
        <v>53</v>
      </c>
      <c r="G23" s="6">
        <f t="shared" si="0"/>
        <v>2025</v>
      </c>
      <c r="H23" s="6" t="str">
        <f t="shared" si="1"/>
        <v>Mar</v>
      </c>
      <c r="I23" s="6" t="str">
        <f t="shared" si="2"/>
        <v>Q1</v>
      </c>
    </row>
    <row r="24" spans="1:9" x14ac:dyDescent="0.25">
      <c r="A24" s="15" t="s">
        <v>145</v>
      </c>
      <c r="B24" s="14">
        <v>45717</v>
      </c>
      <c r="C24" s="13" t="s">
        <v>116</v>
      </c>
      <c r="D24" s="13" t="s">
        <v>128</v>
      </c>
      <c r="E24" s="15">
        <v>43000</v>
      </c>
      <c r="F24" s="13" t="s">
        <v>53</v>
      </c>
      <c r="G24" s="6">
        <f t="shared" si="0"/>
        <v>2025</v>
      </c>
      <c r="H24" s="6" t="str">
        <f t="shared" si="1"/>
        <v>Mar</v>
      </c>
      <c r="I24" s="6" t="str">
        <f t="shared" si="2"/>
        <v>Q1</v>
      </c>
    </row>
    <row r="25" spans="1:9" x14ac:dyDescent="0.25">
      <c r="A25" s="15" t="s">
        <v>146</v>
      </c>
      <c r="B25" s="14">
        <v>45717</v>
      </c>
      <c r="C25" s="13" t="s">
        <v>118</v>
      </c>
      <c r="D25" s="13" t="s">
        <v>130</v>
      </c>
      <c r="E25" s="15">
        <v>53200</v>
      </c>
      <c r="F25" s="13" t="s">
        <v>53</v>
      </c>
      <c r="G25" s="6">
        <f t="shared" si="0"/>
        <v>2025</v>
      </c>
      <c r="H25" s="6" t="str">
        <f t="shared" si="1"/>
        <v>Mar</v>
      </c>
      <c r="I25" s="6" t="str">
        <f t="shared" si="2"/>
        <v>Q1</v>
      </c>
    </row>
    <row r="26" spans="1:9" x14ac:dyDescent="0.25">
      <c r="A26" s="15" t="s">
        <v>147</v>
      </c>
      <c r="B26" s="14">
        <v>45748</v>
      </c>
      <c r="C26" s="13" t="s">
        <v>116</v>
      </c>
      <c r="D26" s="13" t="s">
        <v>25</v>
      </c>
      <c r="E26" s="15">
        <v>768300</v>
      </c>
      <c r="F26" s="13" t="s">
        <v>53</v>
      </c>
      <c r="G26" s="6">
        <f t="shared" si="0"/>
        <v>2025</v>
      </c>
      <c r="H26" s="6" t="str">
        <f t="shared" si="1"/>
        <v>Apr</v>
      </c>
      <c r="I26" s="6" t="str">
        <f t="shared" si="2"/>
        <v>Q1</v>
      </c>
    </row>
    <row r="27" spans="1:9" x14ac:dyDescent="0.25">
      <c r="A27" s="15" t="s">
        <v>148</v>
      </c>
      <c r="B27" s="14">
        <v>45748</v>
      </c>
      <c r="C27" s="13" t="s">
        <v>118</v>
      </c>
      <c r="D27" s="13" t="s">
        <v>26</v>
      </c>
      <c r="E27" s="15">
        <v>176100</v>
      </c>
      <c r="F27" s="13" t="s">
        <v>53</v>
      </c>
      <c r="G27" s="6">
        <f t="shared" si="0"/>
        <v>2025</v>
      </c>
      <c r="H27" s="6" t="str">
        <f t="shared" si="1"/>
        <v>Apr</v>
      </c>
      <c r="I27" s="6" t="str">
        <f t="shared" si="2"/>
        <v>Q1</v>
      </c>
    </row>
    <row r="28" spans="1:9" x14ac:dyDescent="0.25">
      <c r="A28" s="15" t="s">
        <v>149</v>
      </c>
      <c r="B28" s="14">
        <v>45748</v>
      </c>
      <c r="C28" s="13" t="s">
        <v>120</v>
      </c>
      <c r="D28" s="13" t="s">
        <v>27</v>
      </c>
      <c r="E28" s="15">
        <v>149400</v>
      </c>
      <c r="F28" s="13" t="s">
        <v>53</v>
      </c>
      <c r="G28" s="6">
        <f t="shared" si="0"/>
        <v>2025</v>
      </c>
      <c r="H28" s="6" t="str">
        <f t="shared" si="1"/>
        <v>Apr</v>
      </c>
      <c r="I28" s="6" t="str">
        <f t="shared" si="2"/>
        <v>Q2</v>
      </c>
    </row>
    <row r="29" spans="1:9" x14ac:dyDescent="0.25">
      <c r="A29" s="15" t="s">
        <v>150</v>
      </c>
      <c r="B29" s="14">
        <v>45748</v>
      </c>
      <c r="C29" s="13" t="s">
        <v>122</v>
      </c>
      <c r="D29" s="13" t="s">
        <v>28</v>
      </c>
      <c r="E29" s="15">
        <v>69400</v>
      </c>
      <c r="F29" s="13" t="s">
        <v>53</v>
      </c>
      <c r="G29" s="6">
        <f t="shared" si="0"/>
        <v>2025</v>
      </c>
      <c r="H29" s="6" t="str">
        <f t="shared" si="1"/>
        <v>Apr</v>
      </c>
      <c r="I29" s="6" t="str">
        <f t="shared" si="2"/>
        <v>Q2</v>
      </c>
    </row>
    <row r="30" spans="1:9" x14ac:dyDescent="0.25">
      <c r="A30" s="15" t="s">
        <v>151</v>
      </c>
      <c r="B30" s="14">
        <v>45748</v>
      </c>
      <c r="C30" s="13" t="s">
        <v>124</v>
      </c>
      <c r="D30" s="13" t="s">
        <v>29</v>
      </c>
      <c r="E30" s="15">
        <v>122700</v>
      </c>
      <c r="F30" s="13" t="s">
        <v>53</v>
      </c>
      <c r="G30" s="6">
        <f t="shared" si="0"/>
        <v>2025</v>
      </c>
      <c r="H30" s="6" t="str">
        <f t="shared" si="1"/>
        <v>Apr</v>
      </c>
      <c r="I30" s="6" t="str">
        <f t="shared" si="2"/>
        <v>Q2</v>
      </c>
    </row>
    <row r="31" spans="1:9" x14ac:dyDescent="0.25">
      <c r="A31" s="15" t="s">
        <v>152</v>
      </c>
      <c r="B31" s="14">
        <v>45748</v>
      </c>
      <c r="C31" s="13" t="s">
        <v>126</v>
      </c>
      <c r="D31" s="13" t="s">
        <v>122</v>
      </c>
      <c r="E31" s="15">
        <v>101400</v>
      </c>
      <c r="F31" s="13" t="s">
        <v>53</v>
      </c>
      <c r="G31" s="6">
        <f t="shared" si="0"/>
        <v>2025</v>
      </c>
      <c r="H31" s="6" t="str">
        <f t="shared" si="1"/>
        <v>Apr</v>
      </c>
      <c r="I31" s="6" t="str">
        <f t="shared" si="2"/>
        <v>Q2</v>
      </c>
    </row>
    <row r="32" spans="1:9" x14ac:dyDescent="0.25">
      <c r="A32" s="15" t="s">
        <v>153</v>
      </c>
      <c r="B32" s="14">
        <v>45748</v>
      </c>
      <c r="C32" s="13" t="s">
        <v>116</v>
      </c>
      <c r="D32" s="13" t="s">
        <v>128</v>
      </c>
      <c r="E32" s="15">
        <v>44800</v>
      </c>
      <c r="F32" s="13" t="s">
        <v>53</v>
      </c>
      <c r="G32" s="6">
        <f t="shared" si="0"/>
        <v>2025</v>
      </c>
      <c r="H32" s="6" t="str">
        <f t="shared" si="1"/>
        <v>Apr</v>
      </c>
      <c r="I32" s="6" t="str">
        <f t="shared" si="2"/>
        <v>Q2</v>
      </c>
    </row>
    <row r="33" spans="1:9" x14ac:dyDescent="0.25">
      <c r="A33" s="15" t="s">
        <v>154</v>
      </c>
      <c r="B33" s="14">
        <v>45748</v>
      </c>
      <c r="C33" s="13" t="s">
        <v>118</v>
      </c>
      <c r="D33" s="13" t="s">
        <v>130</v>
      </c>
      <c r="E33" s="15">
        <v>55500</v>
      </c>
      <c r="F33" s="13" t="s">
        <v>53</v>
      </c>
      <c r="G33" s="6">
        <f t="shared" si="0"/>
        <v>2025</v>
      </c>
      <c r="H33" s="6" t="str">
        <f t="shared" si="1"/>
        <v>Apr</v>
      </c>
      <c r="I33" s="6" t="str">
        <f t="shared" si="2"/>
        <v>Q2</v>
      </c>
    </row>
    <row r="34" spans="1:9" x14ac:dyDescent="0.25">
      <c r="A34" s="15" t="s">
        <v>155</v>
      </c>
      <c r="B34" s="14">
        <v>45778</v>
      </c>
      <c r="C34" s="13" t="s">
        <v>116</v>
      </c>
      <c r="D34" s="13" t="s">
        <v>25</v>
      </c>
      <c r="E34" s="15">
        <v>747000</v>
      </c>
      <c r="F34" s="13" t="s">
        <v>53</v>
      </c>
      <c r="G34" s="6">
        <f t="shared" ref="G34:G65" si="3">YEAR(B34)</f>
        <v>2025</v>
      </c>
      <c r="H34" s="6" t="str">
        <f t="shared" ref="H34:H65" si="4">TEXT(B34,"mmm")</f>
        <v>May</v>
      </c>
      <c r="I34" s="6" t="str">
        <f t="shared" si="2"/>
        <v>Q2</v>
      </c>
    </row>
    <row r="35" spans="1:9" x14ac:dyDescent="0.25">
      <c r="A35" s="15" t="s">
        <v>156</v>
      </c>
      <c r="B35" s="14">
        <v>45778</v>
      </c>
      <c r="C35" s="13" t="s">
        <v>118</v>
      </c>
      <c r="D35" s="13" t="s">
        <v>26</v>
      </c>
      <c r="E35" s="15">
        <v>171200</v>
      </c>
      <c r="F35" s="13" t="s">
        <v>53</v>
      </c>
      <c r="G35" s="6">
        <f t="shared" si="3"/>
        <v>2025</v>
      </c>
      <c r="H35" s="6" t="str">
        <f t="shared" si="4"/>
        <v>May</v>
      </c>
      <c r="I35" s="6" t="str">
        <f t="shared" si="2"/>
        <v>Q2</v>
      </c>
    </row>
    <row r="36" spans="1:9" x14ac:dyDescent="0.25">
      <c r="A36" s="15" t="s">
        <v>157</v>
      </c>
      <c r="B36" s="14">
        <v>45778</v>
      </c>
      <c r="C36" s="13" t="s">
        <v>120</v>
      </c>
      <c r="D36" s="13" t="s">
        <v>27</v>
      </c>
      <c r="E36" s="15">
        <v>145300</v>
      </c>
      <c r="F36" s="13" t="s">
        <v>53</v>
      </c>
      <c r="G36" s="6">
        <f t="shared" si="3"/>
        <v>2025</v>
      </c>
      <c r="H36" s="6" t="str">
        <f t="shared" si="4"/>
        <v>May</v>
      </c>
      <c r="I36" s="6" t="str">
        <f t="shared" si="2"/>
        <v>Q2</v>
      </c>
    </row>
    <row r="37" spans="1:9" x14ac:dyDescent="0.25">
      <c r="A37" s="15" t="s">
        <v>158</v>
      </c>
      <c r="B37" s="14">
        <v>45778</v>
      </c>
      <c r="C37" s="13" t="s">
        <v>122</v>
      </c>
      <c r="D37" s="13" t="s">
        <v>28</v>
      </c>
      <c r="E37" s="15">
        <v>67400</v>
      </c>
      <c r="F37" s="13" t="s">
        <v>53</v>
      </c>
      <c r="G37" s="6">
        <f t="shared" si="3"/>
        <v>2025</v>
      </c>
      <c r="H37" s="6" t="str">
        <f t="shared" si="4"/>
        <v>May</v>
      </c>
      <c r="I37" s="6" t="str">
        <f t="shared" si="2"/>
        <v>Q2</v>
      </c>
    </row>
    <row r="38" spans="1:9" x14ac:dyDescent="0.25">
      <c r="A38" s="15" t="s">
        <v>159</v>
      </c>
      <c r="B38" s="14">
        <v>45778</v>
      </c>
      <c r="C38" s="13" t="s">
        <v>124</v>
      </c>
      <c r="D38" s="13" t="s">
        <v>29</v>
      </c>
      <c r="E38" s="15">
        <v>119300</v>
      </c>
      <c r="F38" s="13" t="s">
        <v>53</v>
      </c>
      <c r="G38" s="6">
        <f t="shared" si="3"/>
        <v>2025</v>
      </c>
      <c r="H38" s="6" t="str">
        <f t="shared" si="4"/>
        <v>May</v>
      </c>
      <c r="I38" s="6" t="str">
        <f t="shared" si="2"/>
        <v>Q2</v>
      </c>
    </row>
    <row r="39" spans="1:9" x14ac:dyDescent="0.25">
      <c r="A39" s="15" t="s">
        <v>160</v>
      </c>
      <c r="B39" s="14">
        <v>45778</v>
      </c>
      <c r="C39" s="13" t="s">
        <v>126</v>
      </c>
      <c r="D39" s="13" t="s">
        <v>122</v>
      </c>
      <c r="E39" s="15">
        <v>98600</v>
      </c>
      <c r="F39" s="13" t="s">
        <v>53</v>
      </c>
      <c r="G39" s="6">
        <f t="shared" si="3"/>
        <v>2025</v>
      </c>
      <c r="H39" s="6" t="str">
        <f t="shared" si="4"/>
        <v>May</v>
      </c>
      <c r="I39" s="6" t="str">
        <f t="shared" si="2"/>
        <v>Q2</v>
      </c>
    </row>
    <row r="40" spans="1:9" x14ac:dyDescent="0.25">
      <c r="A40" s="15" t="s">
        <v>161</v>
      </c>
      <c r="B40" s="14">
        <v>45778</v>
      </c>
      <c r="C40" s="13" t="s">
        <v>116</v>
      </c>
      <c r="D40" s="13" t="s">
        <v>128</v>
      </c>
      <c r="E40" s="15">
        <v>43600</v>
      </c>
      <c r="F40" s="13" t="s">
        <v>53</v>
      </c>
      <c r="G40" s="6">
        <f t="shared" si="3"/>
        <v>2025</v>
      </c>
      <c r="H40" s="6" t="str">
        <f t="shared" si="4"/>
        <v>May</v>
      </c>
      <c r="I40" s="6" t="str">
        <f t="shared" si="2"/>
        <v>Q2</v>
      </c>
    </row>
    <row r="41" spans="1:9" x14ac:dyDescent="0.25">
      <c r="A41" s="15" t="s">
        <v>162</v>
      </c>
      <c r="B41" s="14">
        <v>45778</v>
      </c>
      <c r="C41" s="13" t="s">
        <v>118</v>
      </c>
      <c r="D41" s="13" t="s">
        <v>130</v>
      </c>
      <c r="E41" s="15">
        <v>54000</v>
      </c>
      <c r="F41" s="13" t="s">
        <v>53</v>
      </c>
      <c r="G41" s="6">
        <f t="shared" si="3"/>
        <v>2025</v>
      </c>
      <c r="H41" s="6" t="str">
        <f t="shared" si="4"/>
        <v>May</v>
      </c>
      <c r="I41" s="6" t="str">
        <f t="shared" si="2"/>
        <v>Q2</v>
      </c>
    </row>
    <row r="42" spans="1:9" x14ac:dyDescent="0.25">
      <c r="A42" s="15" t="s">
        <v>163</v>
      </c>
      <c r="B42" s="14">
        <v>45809</v>
      </c>
      <c r="C42" s="13" t="s">
        <v>116</v>
      </c>
      <c r="D42" s="13" t="s">
        <v>25</v>
      </c>
      <c r="E42" s="15">
        <v>778500</v>
      </c>
      <c r="F42" s="13" t="s">
        <v>53</v>
      </c>
      <c r="G42" s="6">
        <f t="shared" si="3"/>
        <v>2025</v>
      </c>
      <c r="H42" s="6" t="str">
        <f t="shared" si="4"/>
        <v>Jun</v>
      </c>
      <c r="I42" s="6" t="str">
        <f t="shared" si="2"/>
        <v>Q2</v>
      </c>
    </row>
    <row r="43" spans="1:9" x14ac:dyDescent="0.25">
      <c r="A43" s="15" t="s">
        <v>164</v>
      </c>
      <c r="B43" s="14">
        <v>45809</v>
      </c>
      <c r="C43" s="13" t="s">
        <v>118</v>
      </c>
      <c r="D43" s="13" t="s">
        <v>26</v>
      </c>
      <c r="E43" s="15">
        <v>178400</v>
      </c>
      <c r="F43" s="13" t="s">
        <v>53</v>
      </c>
      <c r="G43" s="6">
        <f t="shared" si="3"/>
        <v>2025</v>
      </c>
      <c r="H43" s="6" t="str">
        <f t="shared" si="4"/>
        <v>Jun</v>
      </c>
      <c r="I43" s="6" t="str">
        <f t="shared" si="2"/>
        <v>Q2</v>
      </c>
    </row>
    <row r="44" spans="1:9" x14ac:dyDescent="0.25">
      <c r="A44" s="15" t="s">
        <v>165</v>
      </c>
      <c r="B44" s="14">
        <v>45809</v>
      </c>
      <c r="C44" s="13" t="s">
        <v>120</v>
      </c>
      <c r="D44" s="13" t="s">
        <v>27</v>
      </c>
      <c r="E44" s="15">
        <v>151400</v>
      </c>
      <c r="F44" s="13" t="s">
        <v>53</v>
      </c>
      <c r="G44" s="6">
        <f t="shared" si="3"/>
        <v>2025</v>
      </c>
      <c r="H44" s="6" t="str">
        <f t="shared" si="4"/>
        <v>Jun</v>
      </c>
      <c r="I44" s="6" t="str">
        <f t="shared" si="2"/>
        <v>Q2</v>
      </c>
    </row>
    <row r="45" spans="1:9" x14ac:dyDescent="0.25">
      <c r="A45" s="15" t="s">
        <v>166</v>
      </c>
      <c r="B45" s="14">
        <v>45809</v>
      </c>
      <c r="C45" s="13" t="s">
        <v>122</v>
      </c>
      <c r="D45" s="13" t="s">
        <v>28</v>
      </c>
      <c r="E45" s="15">
        <v>70300</v>
      </c>
      <c r="F45" s="13" t="s">
        <v>53</v>
      </c>
      <c r="G45" s="6">
        <f t="shared" si="3"/>
        <v>2025</v>
      </c>
      <c r="H45" s="6" t="str">
        <f t="shared" si="4"/>
        <v>Jun</v>
      </c>
      <c r="I45" s="6" t="str">
        <f t="shared" si="2"/>
        <v>Q2</v>
      </c>
    </row>
    <row r="46" spans="1:9" x14ac:dyDescent="0.25">
      <c r="A46" s="15" t="s">
        <v>167</v>
      </c>
      <c r="B46" s="14">
        <v>45809</v>
      </c>
      <c r="C46" s="13" t="s">
        <v>124</v>
      </c>
      <c r="D46" s="13" t="s">
        <v>29</v>
      </c>
      <c r="E46" s="15">
        <v>124300</v>
      </c>
      <c r="F46" s="13" t="s">
        <v>53</v>
      </c>
      <c r="G46" s="6">
        <f t="shared" si="3"/>
        <v>2025</v>
      </c>
      <c r="H46" s="6" t="str">
        <f t="shared" si="4"/>
        <v>Jun</v>
      </c>
      <c r="I46" s="6" t="str">
        <f t="shared" si="2"/>
        <v>Q2</v>
      </c>
    </row>
    <row r="47" spans="1:9" x14ac:dyDescent="0.25">
      <c r="A47" s="15" t="s">
        <v>168</v>
      </c>
      <c r="B47" s="14">
        <v>45809</v>
      </c>
      <c r="C47" s="13" t="s">
        <v>126</v>
      </c>
      <c r="D47" s="13" t="s">
        <v>122</v>
      </c>
      <c r="E47" s="15">
        <v>102700</v>
      </c>
      <c r="F47" s="13" t="s">
        <v>53</v>
      </c>
      <c r="G47" s="6">
        <f t="shared" si="3"/>
        <v>2025</v>
      </c>
      <c r="H47" s="6" t="str">
        <f t="shared" si="4"/>
        <v>Jun</v>
      </c>
      <c r="I47" s="6" t="str">
        <f t="shared" si="2"/>
        <v>Q2</v>
      </c>
    </row>
    <row r="48" spans="1:9" x14ac:dyDescent="0.25">
      <c r="A48" s="15" t="s">
        <v>169</v>
      </c>
      <c r="B48" s="14">
        <v>45809</v>
      </c>
      <c r="C48" s="13" t="s">
        <v>116</v>
      </c>
      <c r="D48" s="13" t="s">
        <v>128</v>
      </c>
      <c r="E48" s="15">
        <v>45400</v>
      </c>
      <c r="F48" s="13" t="s">
        <v>53</v>
      </c>
      <c r="G48" s="6">
        <f t="shared" si="3"/>
        <v>2025</v>
      </c>
      <c r="H48" s="6" t="str">
        <f t="shared" si="4"/>
        <v>Jun</v>
      </c>
      <c r="I48" s="6" t="str">
        <f t="shared" si="2"/>
        <v>Q2</v>
      </c>
    </row>
    <row r="49" spans="1:9" x14ac:dyDescent="0.25">
      <c r="A49" s="15" t="s">
        <v>170</v>
      </c>
      <c r="B49" s="14">
        <v>45809</v>
      </c>
      <c r="C49" s="13" t="s">
        <v>118</v>
      </c>
      <c r="D49" s="13" t="s">
        <v>130</v>
      </c>
      <c r="E49" s="15">
        <v>56200</v>
      </c>
      <c r="F49" s="13" t="s">
        <v>53</v>
      </c>
      <c r="G49" s="6">
        <f t="shared" si="3"/>
        <v>2025</v>
      </c>
      <c r="H49" s="6" t="str">
        <f t="shared" si="4"/>
        <v>Jun</v>
      </c>
      <c r="I49" s="6" t="str">
        <f t="shared" si="2"/>
        <v>Q2</v>
      </c>
    </row>
    <row r="50" spans="1:9" x14ac:dyDescent="0.25">
      <c r="A50" s="15" t="s">
        <v>171</v>
      </c>
      <c r="B50" s="14">
        <v>45839</v>
      </c>
      <c r="C50" s="13" t="s">
        <v>116</v>
      </c>
      <c r="D50" s="13" t="s">
        <v>25</v>
      </c>
      <c r="E50" s="15">
        <v>802700</v>
      </c>
      <c r="F50" s="13" t="s">
        <v>53</v>
      </c>
      <c r="G50" s="6">
        <f t="shared" si="3"/>
        <v>2025</v>
      </c>
      <c r="H50" s="6" t="str">
        <f t="shared" si="4"/>
        <v>Jul</v>
      </c>
      <c r="I50" s="6" t="str">
        <f t="shared" si="2"/>
        <v>Q2</v>
      </c>
    </row>
    <row r="51" spans="1:9" x14ac:dyDescent="0.25">
      <c r="A51" s="15" t="s">
        <v>172</v>
      </c>
      <c r="B51" s="14">
        <v>45839</v>
      </c>
      <c r="C51" s="13" t="s">
        <v>118</v>
      </c>
      <c r="D51" s="13" t="s">
        <v>26</v>
      </c>
      <c r="E51" s="15">
        <v>184000</v>
      </c>
      <c r="F51" s="13" t="s">
        <v>53</v>
      </c>
      <c r="G51" s="6">
        <f t="shared" si="3"/>
        <v>2025</v>
      </c>
      <c r="H51" s="6" t="str">
        <f t="shared" si="4"/>
        <v>Jul</v>
      </c>
      <c r="I51" s="6" t="str">
        <f t="shared" si="2"/>
        <v>Q2</v>
      </c>
    </row>
    <row r="52" spans="1:9" x14ac:dyDescent="0.25">
      <c r="A52" s="15" t="s">
        <v>173</v>
      </c>
      <c r="B52" s="14">
        <v>45839</v>
      </c>
      <c r="C52" s="13" t="s">
        <v>120</v>
      </c>
      <c r="D52" s="13" t="s">
        <v>27</v>
      </c>
      <c r="E52" s="15">
        <v>156100</v>
      </c>
      <c r="F52" s="13" t="s">
        <v>53</v>
      </c>
      <c r="G52" s="6">
        <f t="shared" si="3"/>
        <v>2025</v>
      </c>
      <c r="H52" s="6" t="str">
        <f t="shared" si="4"/>
        <v>Jul</v>
      </c>
      <c r="I52" s="6" t="str">
        <f t="shared" si="2"/>
        <v>Q3</v>
      </c>
    </row>
    <row r="53" spans="1:9" x14ac:dyDescent="0.25">
      <c r="A53" s="15" t="s">
        <v>174</v>
      </c>
      <c r="B53" s="14">
        <v>45839</v>
      </c>
      <c r="C53" s="13" t="s">
        <v>122</v>
      </c>
      <c r="D53" s="13" t="s">
        <v>28</v>
      </c>
      <c r="E53" s="15">
        <v>72500</v>
      </c>
      <c r="F53" s="13" t="s">
        <v>53</v>
      </c>
      <c r="G53" s="6">
        <f t="shared" si="3"/>
        <v>2025</v>
      </c>
      <c r="H53" s="6" t="str">
        <f t="shared" si="4"/>
        <v>Jul</v>
      </c>
      <c r="I53" s="6" t="str">
        <f t="shared" si="2"/>
        <v>Q3</v>
      </c>
    </row>
    <row r="54" spans="1:9" x14ac:dyDescent="0.25">
      <c r="A54" s="15" t="s">
        <v>175</v>
      </c>
      <c r="B54" s="14">
        <v>45839</v>
      </c>
      <c r="C54" s="13" t="s">
        <v>124</v>
      </c>
      <c r="D54" s="13" t="s">
        <v>29</v>
      </c>
      <c r="E54" s="15">
        <v>128200</v>
      </c>
      <c r="F54" s="13" t="s">
        <v>53</v>
      </c>
      <c r="G54" s="6">
        <f t="shared" si="3"/>
        <v>2025</v>
      </c>
      <c r="H54" s="6" t="str">
        <f t="shared" si="4"/>
        <v>Jul</v>
      </c>
      <c r="I54" s="6" t="str">
        <f t="shared" si="2"/>
        <v>Q3</v>
      </c>
    </row>
    <row r="55" spans="1:9" x14ac:dyDescent="0.25">
      <c r="A55" s="15" t="s">
        <v>176</v>
      </c>
      <c r="B55" s="14">
        <v>45839</v>
      </c>
      <c r="C55" s="13" t="s">
        <v>126</v>
      </c>
      <c r="D55" s="13" t="s">
        <v>122</v>
      </c>
      <c r="E55" s="15">
        <v>105900</v>
      </c>
      <c r="F55" s="13" t="s">
        <v>53</v>
      </c>
      <c r="G55" s="6">
        <f t="shared" si="3"/>
        <v>2025</v>
      </c>
      <c r="H55" s="6" t="str">
        <f t="shared" si="4"/>
        <v>Jul</v>
      </c>
      <c r="I55" s="6" t="str">
        <f t="shared" si="2"/>
        <v>Q3</v>
      </c>
    </row>
    <row r="56" spans="1:9" x14ac:dyDescent="0.25">
      <c r="A56" s="15" t="s">
        <v>177</v>
      </c>
      <c r="B56" s="14">
        <v>45839</v>
      </c>
      <c r="C56" s="13" t="s">
        <v>116</v>
      </c>
      <c r="D56" s="13" t="s">
        <v>128</v>
      </c>
      <c r="E56" s="15">
        <v>46800</v>
      </c>
      <c r="F56" s="13" t="s">
        <v>53</v>
      </c>
      <c r="G56" s="6">
        <f t="shared" si="3"/>
        <v>2025</v>
      </c>
      <c r="H56" s="6" t="str">
        <f t="shared" si="4"/>
        <v>Jul</v>
      </c>
      <c r="I56" s="6" t="str">
        <f t="shared" si="2"/>
        <v>Q3</v>
      </c>
    </row>
    <row r="57" spans="1:9" x14ac:dyDescent="0.25">
      <c r="A57" s="15" t="s">
        <v>178</v>
      </c>
      <c r="B57" s="14">
        <v>45839</v>
      </c>
      <c r="C57" s="13" t="s">
        <v>118</v>
      </c>
      <c r="D57" s="13" t="s">
        <v>130</v>
      </c>
      <c r="E57" s="15">
        <v>58000</v>
      </c>
      <c r="F57" s="13" t="s">
        <v>53</v>
      </c>
      <c r="G57" s="6">
        <f t="shared" si="3"/>
        <v>2025</v>
      </c>
      <c r="H57" s="6" t="str">
        <f t="shared" si="4"/>
        <v>Jul</v>
      </c>
      <c r="I57" s="6" t="str">
        <f t="shared" si="2"/>
        <v>Q3</v>
      </c>
    </row>
    <row r="58" spans="1:9" x14ac:dyDescent="0.25">
      <c r="A58" s="15" t="s">
        <v>179</v>
      </c>
      <c r="B58" s="14">
        <v>45870</v>
      </c>
      <c r="C58" s="13" t="s">
        <v>116</v>
      </c>
      <c r="D58" s="13" t="s">
        <v>25</v>
      </c>
      <c r="E58" s="15">
        <v>780500</v>
      </c>
      <c r="F58" s="13" t="s">
        <v>53</v>
      </c>
      <c r="G58" s="6">
        <f t="shared" si="3"/>
        <v>2025</v>
      </c>
      <c r="H58" s="6" t="str">
        <f t="shared" si="4"/>
        <v>Aug</v>
      </c>
      <c r="I58" s="6" t="str">
        <f t="shared" si="2"/>
        <v>Q3</v>
      </c>
    </row>
    <row r="59" spans="1:9" x14ac:dyDescent="0.25">
      <c r="A59" s="15" t="s">
        <v>180</v>
      </c>
      <c r="B59" s="14">
        <v>45870</v>
      </c>
      <c r="C59" s="13" t="s">
        <v>118</v>
      </c>
      <c r="D59" s="13" t="s">
        <v>26</v>
      </c>
      <c r="E59" s="15">
        <v>178900</v>
      </c>
      <c r="F59" s="13" t="s">
        <v>53</v>
      </c>
      <c r="G59" s="6">
        <f t="shared" si="3"/>
        <v>2025</v>
      </c>
      <c r="H59" s="6" t="str">
        <f t="shared" si="4"/>
        <v>Aug</v>
      </c>
      <c r="I59" s="6" t="str">
        <f t="shared" si="2"/>
        <v>Q3</v>
      </c>
    </row>
    <row r="60" spans="1:9" x14ac:dyDescent="0.25">
      <c r="A60" s="15" t="s">
        <v>181</v>
      </c>
      <c r="B60" s="14">
        <v>45870</v>
      </c>
      <c r="C60" s="13" t="s">
        <v>120</v>
      </c>
      <c r="D60" s="13" t="s">
        <v>27</v>
      </c>
      <c r="E60" s="15">
        <v>151800</v>
      </c>
      <c r="F60" s="13" t="s">
        <v>53</v>
      </c>
      <c r="G60" s="6">
        <f t="shared" si="3"/>
        <v>2025</v>
      </c>
      <c r="H60" s="6" t="str">
        <f t="shared" si="4"/>
        <v>Aug</v>
      </c>
      <c r="I60" s="6" t="str">
        <f t="shared" si="2"/>
        <v>Q3</v>
      </c>
    </row>
    <row r="61" spans="1:9" x14ac:dyDescent="0.25">
      <c r="A61" s="15" t="s">
        <v>182</v>
      </c>
      <c r="B61" s="14">
        <v>45870</v>
      </c>
      <c r="C61" s="13" t="s">
        <v>122</v>
      </c>
      <c r="D61" s="13" t="s">
        <v>28</v>
      </c>
      <c r="E61" s="15">
        <v>70500</v>
      </c>
      <c r="F61" s="13" t="s">
        <v>53</v>
      </c>
      <c r="G61" s="6">
        <f t="shared" si="3"/>
        <v>2025</v>
      </c>
      <c r="H61" s="6" t="str">
        <f t="shared" si="4"/>
        <v>Aug</v>
      </c>
      <c r="I61" s="6" t="str">
        <f t="shared" si="2"/>
        <v>Q3</v>
      </c>
    </row>
    <row r="62" spans="1:9" x14ac:dyDescent="0.25">
      <c r="A62" s="15" t="s">
        <v>183</v>
      </c>
      <c r="B62" s="14">
        <v>45870</v>
      </c>
      <c r="C62" s="13" t="s">
        <v>124</v>
      </c>
      <c r="D62" s="13" t="s">
        <v>29</v>
      </c>
      <c r="E62" s="15">
        <v>124700</v>
      </c>
      <c r="F62" s="13" t="s">
        <v>53</v>
      </c>
      <c r="G62" s="6">
        <f t="shared" si="3"/>
        <v>2025</v>
      </c>
      <c r="H62" s="6" t="str">
        <f t="shared" si="4"/>
        <v>Aug</v>
      </c>
      <c r="I62" s="6" t="str">
        <f t="shared" si="2"/>
        <v>Q3</v>
      </c>
    </row>
    <row r="63" spans="1:9" x14ac:dyDescent="0.25">
      <c r="A63" s="15" t="s">
        <v>184</v>
      </c>
      <c r="B63" s="14">
        <v>45870</v>
      </c>
      <c r="C63" s="13" t="s">
        <v>126</v>
      </c>
      <c r="D63" s="13" t="s">
        <v>122</v>
      </c>
      <c r="E63" s="15">
        <v>103000</v>
      </c>
      <c r="F63" s="13" t="s">
        <v>53</v>
      </c>
      <c r="G63" s="6">
        <f t="shared" si="3"/>
        <v>2025</v>
      </c>
      <c r="H63" s="6" t="str">
        <f t="shared" si="4"/>
        <v>Aug</v>
      </c>
      <c r="I63" s="6" t="str">
        <f t="shared" si="2"/>
        <v>Q3</v>
      </c>
    </row>
    <row r="64" spans="1:9" x14ac:dyDescent="0.25">
      <c r="A64" s="15" t="s">
        <v>185</v>
      </c>
      <c r="B64" s="14">
        <v>45870</v>
      </c>
      <c r="C64" s="13" t="s">
        <v>116</v>
      </c>
      <c r="D64" s="13" t="s">
        <v>128</v>
      </c>
      <c r="E64" s="15">
        <v>45500</v>
      </c>
      <c r="F64" s="13" t="s">
        <v>53</v>
      </c>
      <c r="G64" s="6">
        <f t="shared" si="3"/>
        <v>2025</v>
      </c>
      <c r="H64" s="6" t="str">
        <f t="shared" si="4"/>
        <v>Aug</v>
      </c>
      <c r="I64" s="6" t="str">
        <f t="shared" si="2"/>
        <v>Q3</v>
      </c>
    </row>
    <row r="65" spans="1:9" x14ac:dyDescent="0.25">
      <c r="A65" s="15" t="s">
        <v>186</v>
      </c>
      <c r="B65" s="14">
        <v>45870</v>
      </c>
      <c r="C65" s="13" t="s">
        <v>118</v>
      </c>
      <c r="D65" s="13" t="s">
        <v>130</v>
      </c>
      <c r="E65" s="15">
        <v>56400</v>
      </c>
      <c r="F65" s="13" t="s">
        <v>53</v>
      </c>
      <c r="G65" s="6">
        <f t="shared" si="3"/>
        <v>2025</v>
      </c>
      <c r="H65" s="6" t="str">
        <f t="shared" si="4"/>
        <v>Aug</v>
      </c>
      <c r="I65" s="6" t="str">
        <f t="shared" si="2"/>
        <v>Q3</v>
      </c>
    </row>
    <row r="66" spans="1:9" x14ac:dyDescent="0.25">
      <c r="A66" s="15" t="s">
        <v>187</v>
      </c>
      <c r="B66" s="14">
        <v>45901</v>
      </c>
      <c r="C66" s="13" t="s">
        <v>116</v>
      </c>
      <c r="D66" s="13" t="s">
        <v>25</v>
      </c>
      <c r="E66" s="15">
        <v>828600</v>
      </c>
      <c r="F66" s="13" t="s">
        <v>53</v>
      </c>
      <c r="G66" s="6">
        <f t="shared" ref="G66:G97" si="5">YEAR(B66)</f>
        <v>2025</v>
      </c>
      <c r="H66" s="6" t="str">
        <f t="shared" ref="H66:H97" si="6">TEXT(B66,"mmm")</f>
        <v>Sep</v>
      </c>
      <c r="I66" s="6" t="str">
        <f t="shared" si="2"/>
        <v>Q3</v>
      </c>
    </row>
    <row r="67" spans="1:9" x14ac:dyDescent="0.25">
      <c r="A67" s="15" t="s">
        <v>188</v>
      </c>
      <c r="B67" s="14">
        <v>45901</v>
      </c>
      <c r="C67" s="13" t="s">
        <v>118</v>
      </c>
      <c r="D67" s="13" t="s">
        <v>26</v>
      </c>
      <c r="E67" s="15">
        <v>189900</v>
      </c>
      <c r="F67" s="13" t="s">
        <v>53</v>
      </c>
      <c r="G67" s="6">
        <f t="shared" si="5"/>
        <v>2025</v>
      </c>
      <c r="H67" s="6" t="str">
        <f t="shared" si="6"/>
        <v>Sep</v>
      </c>
      <c r="I67" s="6" t="str">
        <f t="shared" si="2"/>
        <v>Q3</v>
      </c>
    </row>
    <row r="68" spans="1:9" x14ac:dyDescent="0.25">
      <c r="A68" s="15" t="s">
        <v>189</v>
      </c>
      <c r="B68" s="14">
        <v>45901</v>
      </c>
      <c r="C68" s="13" t="s">
        <v>120</v>
      </c>
      <c r="D68" s="13" t="s">
        <v>27</v>
      </c>
      <c r="E68" s="15">
        <v>161100</v>
      </c>
      <c r="F68" s="13" t="s">
        <v>53</v>
      </c>
      <c r="G68" s="6">
        <f t="shared" si="5"/>
        <v>2025</v>
      </c>
      <c r="H68" s="6" t="str">
        <f t="shared" si="6"/>
        <v>Sep</v>
      </c>
      <c r="I68" s="6" t="str">
        <f t="shared" si="2"/>
        <v>Q3</v>
      </c>
    </row>
    <row r="69" spans="1:9" x14ac:dyDescent="0.25">
      <c r="A69" s="15" t="s">
        <v>190</v>
      </c>
      <c r="B69" s="14">
        <v>45901</v>
      </c>
      <c r="C69" s="13" t="s">
        <v>122</v>
      </c>
      <c r="D69" s="13" t="s">
        <v>28</v>
      </c>
      <c r="E69" s="15">
        <v>74800</v>
      </c>
      <c r="F69" s="13" t="s">
        <v>53</v>
      </c>
      <c r="G69" s="6">
        <f t="shared" si="5"/>
        <v>2025</v>
      </c>
      <c r="H69" s="6" t="str">
        <f t="shared" si="6"/>
        <v>Sep</v>
      </c>
      <c r="I69" s="6" t="str">
        <f t="shared" ref="I69:I97" si="7">IFERROR("Q"&amp;ROUNDUP(MONTH(B67)/3,0)," ")</f>
        <v>Q3</v>
      </c>
    </row>
    <row r="70" spans="1:9" x14ac:dyDescent="0.25">
      <c r="A70" s="15" t="s">
        <v>191</v>
      </c>
      <c r="B70" s="14">
        <v>45901</v>
      </c>
      <c r="C70" s="13" t="s">
        <v>124</v>
      </c>
      <c r="D70" s="13" t="s">
        <v>29</v>
      </c>
      <c r="E70" s="15">
        <v>132300</v>
      </c>
      <c r="F70" s="13" t="s">
        <v>53</v>
      </c>
      <c r="G70" s="6">
        <f t="shared" si="5"/>
        <v>2025</v>
      </c>
      <c r="H70" s="6" t="str">
        <f t="shared" si="6"/>
        <v>Sep</v>
      </c>
      <c r="I70" s="6" t="str">
        <f t="shared" si="7"/>
        <v>Q3</v>
      </c>
    </row>
    <row r="71" spans="1:9" x14ac:dyDescent="0.25">
      <c r="A71" s="15" t="s">
        <v>192</v>
      </c>
      <c r="B71" s="14">
        <v>45901</v>
      </c>
      <c r="C71" s="13" t="s">
        <v>126</v>
      </c>
      <c r="D71" s="13" t="s">
        <v>122</v>
      </c>
      <c r="E71" s="15">
        <v>109300</v>
      </c>
      <c r="F71" s="13" t="s">
        <v>53</v>
      </c>
      <c r="G71" s="6">
        <f t="shared" si="5"/>
        <v>2025</v>
      </c>
      <c r="H71" s="6" t="str">
        <f t="shared" si="6"/>
        <v>Sep</v>
      </c>
      <c r="I71" s="6" t="str">
        <f t="shared" si="7"/>
        <v>Q3</v>
      </c>
    </row>
    <row r="72" spans="1:9" x14ac:dyDescent="0.25">
      <c r="A72" s="15" t="s">
        <v>193</v>
      </c>
      <c r="B72" s="14">
        <v>45901</v>
      </c>
      <c r="C72" s="13" t="s">
        <v>116</v>
      </c>
      <c r="D72" s="13" t="s">
        <v>128</v>
      </c>
      <c r="E72" s="15">
        <v>48300</v>
      </c>
      <c r="F72" s="13" t="s">
        <v>53</v>
      </c>
      <c r="G72" s="6">
        <f t="shared" si="5"/>
        <v>2025</v>
      </c>
      <c r="H72" s="6" t="str">
        <f t="shared" si="6"/>
        <v>Sep</v>
      </c>
      <c r="I72" s="6" t="str">
        <f t="shared" si="7"/>
        <v>Q3</v>
      </c>
    </row>
    <row r="73" spans="1:9" x14ac:dyDescent="0.25">
      <c r="A73" s="15" t="s">
        <v>194</v>
      </c>
      <c r="B73" s="14">
        <v>45901</v>
      </c>
      <c r="C73" s="13" t="s">
        <v>118</v>
      </c>
      <c r="D73" s="13" t="s">
        <v>130</v>
      </c>
      <c r="E73" s="15">
        <v>59800</v>
      </c>
      <c r="F73" s="13" t="s">
        <v>53</v>
      </c>
      <c r="G73" s="6">
        <f t="shared" si="5"/>
        <v>2025</v>
      </c>
      <c r="H73" s="6" t="str">
        <f t="shared" si="6"/>
        <v>Sep</v>
      </c>
      <c r="I73" s="6" t="str">
        <f t="shared" si="7"/>
        <v>Q3</v>
      </c>
    </row>
    <row r="74" spans="1:9" x14ac:dyDescent="0.25">
      <c r="A74" s="15" t="s">
        <v>195</v>
      </c>
      <c r="B74" s="14">
        <v>45931</v>
      </c>
      <c r="C74" s="13" t="s">
        <v>116</v>
      </c>
      <c r="D74" s="13" t="s">
        <v>25</v>
      </c>
      <c r="E74" s="15">
        <v>813700</v>
      </c>
      <c r="F74" s="13" t="s">
        <v>53</v>
      </c>
      <c r="G74" s="6">
        <f t="shared" si="5"/>
        <v>2025</v>
      </c>
      <c r="H74" s="6" t="str">
        <f t="shared" si="6"/>
        <v>Oct</v>
      </c>
      <c r="I74" s="6" t="str">
        <f t="shared" si="7"/>
        <v>Q3</v>
      </c>
    </row>
    <row r="75" spans="1:9" x14ac:dyDescent="0.25">
      <c r="A75" s="15" t="s">
        <v>196</v>
      </c>
      <c r="B75" s="14">
        <v>45931</v>
      </c>
      <c r="C75" s="13" t="s">
        <v>118</v>
      </c>
      <c r="D75" s="13" t="s">
        <v>26</v>
      </c>
      <c r="E75" s="15">
        <v>186500</v>
      </c>
      <c r="F75" s="13" t="s">
        <v>53</v>
      </c>
      <c r="G75" s="6">
        <f t="shared" si="5"/>
        <v>2025</v>
      </c>
      <c r="H75" s="6" t="str">
        <f t="shared" si="6"/>
        <v>Oct</v>
      </c>
      <c r="I75" s="6" t="str">
        <f t="shared" si="7"/>
        <v>Q3</v>
      </c>
    </row>
    <row r="76" spans="1:9" x14ac:dyDescent="0.25">
      <c r="A76" s="15" t="s">
        <v>197</v>
      </c>
      <c r="B76" s="14">
        <v>45931</v>
      </c>
      <c r="C76" s="13" t="s">
        <v>120</v>
      </c>
      <c r="D76" s="13" t="s">
        <v>27</v>
      </c>
      <c r="E76" s="15">
        <v>158200</v>
      </c>
      <c r="F76" s="13" t="s">
        <v>53</v>
      </c>
      <c r="G76" s="6">
        <f t="shared" si="5"/>
        <v>2025</v>
      </c>
      <c r="H76" s="6" t="str">
        <f t="shared" si="6"/>
        <v>Oct</v>
      </c>
      <c r="I76" s="6" t="str">
        <f t="shared" si="7"/>
        <v>Q4</v>
      </c>
    </row>
    <row r="77" spans="1:9" x14ac:dyDescent="0.25">
      <c r="A77" s="15" t="s">
        <v>198</v>
      </c>
      <c r="B77" s="14">
        <v>45931</v>
      </c>
      <c r="C77" s="13" t="s">
        <v>122</v>
      </c>
      <c r="D77" s="13" t="s">
        <v>28</v>
      </c>
      <c r="E77" s="15">
        <v>73500</v>
      </c>
      <c r="F77" s="13" t="s">
        <v>53</v>
      </c>
      <c r="G77" s="6">
        <f t="shared" si="5"/>
        <v>2025</v>
      </c>
      <c r="H77" s="6" t="str">
        <f t="shared" si="6"/>
        <v>Oct</v>
      </c>
      <c r="I77" s="6" t="str">
        <f t="shared" si="7"/>
        <v>Q4</v>
      </c>
    </row>
    <row r="78" spans="1:9" x14ac:dyDescent="0.25">
      <c r="A78" s="15" t="s">
        <v>199</v>
      </c>
      <c r="B78" s="14">
        <v>45931</v>
      </c>
      <c r="C78" s="13" t="s">
        <v>124</v>
      </c>
      <c r="D78" s="13" t="s">
        <v>29</v>
      </c>
      <c r="E78" s="15">
        <v>130000</v>
      </c>
      <c r="F78" s="13" t="s">
        <v>53</v>
      </c>
      <c r="G78" s="6">
        <f t="shared" si="5"/>
        <v>2025</v>
      </c>
      <c r="H78" s="6" t="str">
        <f t="shared" si="6"/>
        <v>Oct</v>
      </c>
      <c r="I78" s="6" t="str">
        <f t="shared" si="7"/>
        <v>Q4</v>
      </c>
    </row>
    <row r="79" spans="1:9" x14ac:dyDescent="0.25">
      <c r="A79" s="15" t="s">
        <v>200</v>
      </c>
      <c r="B79" s="14">
        <v>45931</v>
      </c>
      <c r="C79" s="13" t="s">
        <v>126</v>
      </c>
      <c r="D79" s="13" t="s">
        <v>122</v>
      </c>
      <c r="E79" s="15">
        <v>107400</v>
      </c>
      <c r="F79" s="13" t="s">
        <v>53</v>
      </c>
      <c r="G79" s="6">
        <f t="shared" si="5"/>
        <v>2025</v>
      </c>
      <c r="H79" s="6" t="str">
        <f t="shared" si="6"/>
        <v>Oct</v>
      </c>
      <c r="I79" s="6" t="str">
        <f t="shared" si="7"/>
        <v>Q4</v>
      </c>
    </row>
    <row r="80" spans="1:9" x14ac:dyDescent="0.25">
      <c r="A80" s="15" t="s">
        <v>201</v>
      </c>
      <c r="B80" s="14">
        <v>45931</v>
      </c>
      <c r="C80" s="13" t="s">
        <v>116</v>
      </c>
      <c r="D80" s="13" t="s">
        <v>128</v>
      </c>
      <c r="E80" s="15">
        <v>47500</v>
      </c>
      <c r="F80" s="13" t="s">
        <v>53</v>
      </c>
      <c r="G80" s="6">
        <f t="shared" si="5"/>
        <v>2025</v>
      </c>
      <c r="H80" s="6" t="str">
        <f t="shared" si="6"/>
        <v>Oct</v>
      </c>
      <c r="I80" s="6" t="str">
        <f t="shared" si="7"/>
        <v>Q4</v>
      </c>
    </row>
    <row r="81" spans="1:9" x14ac:dyDescent="0.25">
      <c r="A81" s="15" t="s">
        <v>202</v>
      </c>
      <c r="B81" s="14">
        <v>45931</v>
      </c>
      <c r="C81" s="13" t="s">
        <v>118</v>
      </c>
      <c r="D81" s="13" t="s">
        <v>130</v>
      </c>
      <c r="E81" s="15">
        <v>58800</v>
      </c>
      <c r="F81" s="13" t="s">
        <v>53</v>
      </c>
      <c r="G81" s="6">
        <f t="shared" si="5"/>
        <v>2025</v>
      </c>
      <c r="H81" s="6" t="str">
        <f t="shared" si="6"/>
        <v>Oct</v>
      </c>
      <c r="I81" s="6" t="str">
        <f t="shared" si="7"/>
        <v>Q4</v>
      </c>
    </row>
    <row r="82" spans="1:9" x14ac:dyDescent="0.25">
      <c r="A82" s="15" t="s">
        <v>203</v>
      </c>
      <c r="B82" s="14">
        <v>45962</v>
      </c>
      <c r="C82" s="13" t="s">
        <v>116</v>
      </c>
      <c r="D82" s="13" t="s">
        <v>25</v>
      </c>
      <c r="E82" s="15">
        <v>862800</v>
      </c>
      <c r="F82" s="13" t="s">
        <v>53</v>
      </c>
      <c r="G82" s="6">
        <f t="shared" si="5"/>
        <v>2025</v>
      </c>
      <c r="H82" s="6" t="str">
        <f t="shared" si="6"/>
        <v>Nov</v>
      </c>
      <c r="I82" s="6" t="str">
        <f t="shared" si="7"/>
        <v>Q4</v>
      </c>
    </row>
    <row r="83" spans="1:9" x14ac:dyDescent="0.25">
      <c r="A83" s="15" t="s">
        <v>204</v>
      </c>
      <c r="B83" s="14">
        <v>45962</v>
      </c>
      <c r="C83" s="13" t="s">
        <v>118</v>
      </c>
      <c r="D83" s="13" t="s">
        <v>26</v>
      </c>
      <c r="E83" s="15">
        <v>197700</v>
      </c>
      <c r="F83" s="13" t="s">
        <v>53</v>
      </c>
      <c r="G83" s="6">
        <f t="shared" si="5"/>
        <v>2025</v>
      </c>
      <c r="H83" s="6" t="str">
        <f t="shared" si="6"/>
        <v>Nov</v>
      </c>
      <c r="I83" s="6" t="str">
        <f t="shared" si="7"/>
        <v>Q4</v>
      </c>
    </row>
    <row r="84" spans="1:9" x14ac:dyDescent="0.25">
      <c r="A84" s="15" t="s">
        <v>205</v>
      </c>
      <c r="B84" s="14">
        <v>45962</v>
      </c>
      <c r="C84" s="13" t="s">
        <v>120</v>
      </c>
      <c r="D84" s="13" t="s">
        <v>27</v>
      </c>
      <c r="E84" s="15">
        <v>167800</v>
      </c>
      <c r="F84" s="13" t="s">
        <v>53</v>
      </c>
      <c r="G84" s="6">
        <f t="shared" si="5"/>
        <v>2025</v>
      </c>
      <c r="H84" s="6" t="str">
        <f t="shared" si="6"/>
        <v>Nov</v>
      </c>
      <c r="I84" s="6" t="str">
        <f t="shared" si="7"/>
        <v>Q4</v>
      </c>
    </row>
    <row r="85" spans="1:9" x14ac:dyDescent="0.25">
      <c r="A85" s="15" t="s">
        <v>206</v>
      </c>
      <c r="B85" s="14">
        <v>45962</v>
      </c>
      <c r="C85" s="13" t="s">
        <v>122</v>
      </c>
      <c r="D85" s="13" t="s">
        <v>28</v>
      </c>
      <c r="E85" s="15">
        <v>77900</v>
      </c>
      <c r="F85" s="13" t="s">
        <v>53</v>
      </c>
      <c r="G85" s="6">
        <f t="shared" si="5"/>
        <v>2025</v>
      </c>
      <c r="H85" s="6" t="str">
        <f t="shared" si="6"/>
        <v>Nov</v>
      </c>
      <c r="I85" s="6" t="str">
        <f t="shared" si="7"/>
        <v>Q4</v>
      </c>
    </row>
    <row r="86" spans="1:9" x14ac:dyDescent="0.25">
      <c r="A86" s="15" t="s">
        <v>207</v>
      </c>
      <c r="B86" s="14">
        <v>45962</v>
      </c>
      <c r="C86" s="13" t="s">
        <v>124</v>
      </c>
      <c r="D86" s="13" t="s">
        <v>29</v>
      </c>
      <c r="E86" s="15">
        <v>137800</v>
      </c>
      <c r="F86" s="13" t="s">
        <v>53</v>
      </c>
      <c r="G86" s="6">
        <f t="shared" si="5"/>
        <v>2025</v>
      </c>
      <c r="H86" s="6" t="str">
        <f t="shared" si="6"/>
        <v>Nov</v>
      </c>
      <c r="I86" s="6" t="str">
        <f t="shared" si="7"/>
        <v>Q4</v>
      </c>
    </row>
    <row r="87" spans="1:9" x14ac:dyDescent="0.25">
      <c r="A87" s="15" t="s">
        <v>208</v>
      </c>
      <c r="B87" s="14">
        <v>45962</v>
      </c>
      <c r="C87" s="13" t="s">
        <v>126</v>
      </c>
      <c r="D87" s="13" t="s">
        <v>122</v>
      </c>
      <c r="E87" s="15">
        <v>113800</v>
      </c>
      <c r="F87" s="13" t="s">
        <v>53</v>
      </c>
      <c r="G87" s="6">
        <f t="shared" si="5"/>
        <v>2025</v>
      </c>
      <c r="H87" s="6" t="str">
        <f t="shared" si="6"/>
        <v>Nov</v>
      </c>
      <c r="I87" s="6" t="str">
        <f t="shared" si="7"/>
        <v>Q4</v>
      </c>
    </row>
    <row r="88" spans="1:9" x14ac:dyDescent="0.25">
      <c r="A88" s="15" t="s">
        <v>209</v>
      </c>
      <c r="B88" s="14">
        <v>45962</v>
      </c>
      <c r="C88" s="13" t="s">
        <v>116</v>
      </c>
      <c r="D88" s="13" t="s">
        <v>128</v>
      </c>
      <c r="E88" s="15">
        <v>50300</v>
      </c>
      <c r="F88" s="13" t="s">
        <v>53</v>
      </c>
      <c r="G88" s="6">
        <f t="shared" si="5"/>
        <v>2025</v>
      </c>
      <c r="H88" s="6" t="str">
        <f t="shared" si="6"/>
        <v>Nov</v>
      </c>
      <c r="I88" s="6" t="str">
        <f t="shared" si="7"/>
        <v>Q4</v>
      </c>
    </row>
    <row r="89" spans="1:9" x14ac:dyDescent="0.25">
      <c r="A89" s="15" t="s">
        <v>210</v>
      </c>
      <c r="B89" s="14">
        <v>45962</v>
      </c>
      <c r="C89" s="13" t="s">
        <v>118</v>
      </c>
      <c r="D89" s="13" t="s">
        <v>130</v>
      </c>
      <c r="E89" s="15">
        <v>62300</v>
      </c>
      <c r="F89" s="13" t="s">
        <v>53</v>
      </c>
      <c r="G89" s="6">
        <f t="shared" si="5"/>
        <v>2025</v>
      </c>
      <c r="H89" s="6" t="str">
        <f t="shared" si="6"/>
        <v>Nov</v>
      </c>
      <c r="I89" s="6" t="str">
        <f t="shared" si="7"/>
        <v>Q4</v>
      </c>
    </row>
    <row r="90" spans="1:9" x14ac:dyDescent="0.25">
      <c r="A90" s="15" t="s">
        <v>211</v>
      </c>
      <c r="B90" s="14">
        <v>45992</v>
      </c>
      <c r="C90" s="13" t="s">
        <v>116</v>
      </c>
      <c r="D90" s="13" t="s">
        <v>25</v>
      </c>
      <c r="E90" s="15">
        <v>896500</v>
      </c>
      <c r="F90" s="13" t="s">
        <v>53</v>
      </c>
      <c r="G90" s="6">
        <f t="shared" si="5"/>
        <v>2025</v>
      </c>
      <c r="H90" s="6" t="str">
        <f t="shared" si="6"/>
        <v>Dec</v>
      </c>
      <c r="I90" s="6" t="str">
        <f t="shared" si="7"/>
        <v>Q4</v>
      </c>
    </row>
    <row r="91" spans="1:9" x14ac:dyDescent="0.25">
      <c r="A91" s="15" t="s">
        <v>212</v>
      </c>
      <c r="B91" s="14">
        <v>45992</v>
      </c>
      <c r="C91" s="13" t="s">
        <v>118</v>
      </c>
      <c r="D91" s="13" t="s">
        <v>26</v>
      </c>
      <c r="E91" s="15">
        <v>205500</v>
      </c>
      <c r="F91" s="13" t="s">
        <v>53</v>
      </c>
      <c r="G91" s="6">
        <f t="shared" si="5"/>
        <v>2025</v>
      </c>
      <c r="H91" s="6" t="str">
        <f t="shared" si="6"/>
        <v>Dec</v>
      </c>
      <c r="I91" s="6" t="str">
        <f t="shared" si="7"/>
        <v>Q4</v>
      </c>
    </row>
    <row r="92" spans="1:9" x14ac:dyDescent="0.25">
      <c r="A92" s="15" t="s">
        <v>213</v>
      </c>
      <c r="B92" s="14">
        <v>45992</v>
      </c>
      <c r="C92" s="13" t="s">
        <v>120</v>
      </c>
      <c r="D92" s="13" t="s">
        <v>27</v>
      </c>
      <c r="E92" s="15">
        <v>174300</v>
      </c>
      <c r="F92" s="13" t="s">
        <v>53</v>
      </c>
      <c r="G92" s="6">
        <f t="shared" si="5"/>
        <v>2025</v>
      </c>
      <c r="H92" s="6" t="str">
        <f t="shared" si="6"/>
        <v>Dec</v>
      </c>
      <c r="I92" s="6" t="str">
        <f t="shared" si="7"/>
        <v>Q4</v>
      </c>
    </row>
    <row r="93" spans="1:9" x14ac:dyDescent="0.25">
      <c r="A93" s="15" t="s">
        <v>214</v>
      </c>
      <c r="B93" s="14">
        <v>45992</v>
      </c>
      <c r="C93" s="13" t="s">
        <v>122</v>
      </c>
      <c r="D93" s="13" t="s">
        <v>28</v>
      </c>
      <c r="E93" s="15">
        <v>80900</v>
      </c>
      <c r="F93" s="13" t="s">
        <v>53</v>
      </c>
      <c r="G93" s="6">
        <f t="shared" si="5"/>
        <v>2025</v>
      </c>
      <c r="H93" s="6" t="str">
        <f t="shared" si="6"/>
        <v>Dec</v>
      </c>
      <c r="I93" s="6" t="str">
        <f t="shared" si="7"/>
        <v>Q4</v>
      </c>
    </row>
    <row r="94" spans="1:9" x14ac:dyDescent="0.25">
      <c r="A94" s="15" t="s">
        <v>215</v>
      </c>
      <c r="B94" s="14">
        <v>45992</v>
      </c>
      <c r="C94" s="13" t="s">
        <v>124</v>
      </c>
      <c r="D94" s="13" t="s">
        <v>29</v>
      </c>
      <c r="E94" s="15">
        <v>143200</v>
      </c>
      <c r="F94" s="13" t="s">
        <v>53</v>
      </c>
      <c r="G94" s="6">
        <f t="shared" si="5"/>
        <v>2025</v>
      </c>
      <c r="H94" s="6" t="str">
        <f t="shared" si="6"/>
        <v>Dec</v>
      </c>
      <c r="I94" s="6" t="str">
        <f t="shared" si="7"/>
        <v>Q4</v>
      </c>
    </row>
    <row r="95" spans="1:9" x14ac:dyDescent="0.25">
      <c r="A95" s="15" t="s">
        <v>216</v>
      </c>
      <c r="B95" s="14">
        <v>45992</v>
      </c>
      <c r="C95" s="13" t="s">
        <v>126</v>
      </c>
      <c r="D95" s="13" t="s">
        <v>122</v>
      </c>
      <c r="E95" s="15">
        <v>118300</v>
      </c>
      <c r="F95" s="13" t="s">
        <v>53</v>
      </c>
      <c r="G95" s="6">
        <f t="shared" si="5"/>
        <v>2025</v>
      </c>
      <c r="H95" s="6" t="str">
        <f t="shared" si="6"/>
        <v>Dec</v>
      </c>
      <c r="I95" s="6" t="str">
        <f t="shared" si="7"/>
        <v>Q4</v>
      </c>
    </row>
    <row r="96" spans="1:9" x14ac:dyDescent="0.25">
      <c r="A96" s="15" t="s">
        <v>217</v>
      </c>
      <c r="B96" s="14">
        <v>45992</v>
      </c>
      <c r="C96" s="13" t="s">
        <v>116</v>
      </c>
      <c r="D96" s="13" t="s">
        <v>128</v>
      </c>
      <c r="E96" s="15">
        <v>52300</v>
      </c>
      <c r="F96" s="13" t="s">
        <v>53</v>
      </c>
      <c r="G96" s="6">
        <f t="shared" si="5"/>
        <v>2025</v>
      </c>
      <c r="H96" s="6" t="str">
        <f t="shared" si="6"/>
        <v>Dec</v>
      </c>
      <c r="I96" s="6" t="str">
        <f t="shared" si="7"/>
        <v>Q4</v>
      </c>
    </row>
    <row r="97" spans="1:9" x14ac:dyDescent="0.25">
      <c r="A97" s="15" t="s">
        <v>218</v>
      </c>
      <c r="B97" s="14">
        <v>45992</v>
      </c>
      <c r="C97" s="13" t="s">
        <v>118</v>
      </c>
      <c r="D97" s="13" t="s">
        <v>130</v>
      </c>
      <c r="E97" s="15">
        <v>64800</v>
      </c>
      <c r="F97" s="13" t="s">
        <v>53</v>
      </c>
      <c r="G97" s="6">
        <f t="shared" si="5"/>
        <v>2025</v>
      </c>
      <c r="H97" s="6" t="str">
        <f t="shared" si="6"/>
        <v>Dec</v>
      </c>
      <c r="I97" s="6" t="str">
        <f t="shared" si="7"/>
        <v>Q4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2CC"/>
  </sheetPr>
  <dimension ref="A1:G7"/>
  <sheetViews>
    <sheetView showGridLines="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9" customWidth="1"/>
    <col min="2" max="3" width="15" customWidth="1"/>
    <col min="4" max="4" width="12" customWidth="1"/>
    <col min="5" max="5" width="20" customWidth="1"/>
  </cols>
  <sheetData>
    <row r="1" spans="1:7" x14ac:dyDescent="0.25">
      <c r="A1" s="11" t="s">
        <v>113</v>
      </c>
      <c r="B1" s="11" t="s">
        <v>219</v>
      </c>
      <c r="C1" s="11" t="s">
        <v>220</v>
      </c>
      <c r="D1" s="11" t="s">
        <v>221</v>
      </c>
      <c r="E1" s="11" t="s">
        <v>222</v>
      </c>
      <c r="F1" s="12" t="s">
        <v>223</v>
      </c>
      <c r="G1" s="12" t="s">
        <v>33</v>
      </c>
    </row>
    <row r="2" spans="1:7" x14ac:dyDescent="0.25">
      <c r="A2" s="13" t="s">
        <v>116</v>
      </c>
      <c r="B2" s="15">
        <v>10809700</v>
      </c>
      <c r="C2" s="15">
        <v>10009000</v>
      </c>
      <c r="D2" s="15">
        <f t="shared" ref="D2:D7" si="0">C2-B2</f>
        <v>-800700</v>
      </c>
      <c r="E2" s="13">
        <v>0.92592763906491393</v>
      </c>
      <c r="F2" s="9">
        <f t="shared" ref="F2:F7" si="1">IFERROR(C2/B2,0)</f>
        <v>0.92592763906491393</v>
      </c>
      <c r="G2" s="6" t="str">
        <f t="shared" ref="G2:G7" si="2">IF(F2&gt;1,"OVER BUDGET",IF(F2&gt;=0.9,"WATCH","OK"))</f>
        <v>WATCH</v>
      </c>
    </row>
    <row r="3" spans="1:7" x14ac:dyDescent="0.25">
      <c r="A3" s="13" t="s">
        <v>118</v>
      </c>
      <c r="B3" s="15">
        <v>3135800</v>
      </c>
      <c r="C3" s="15">
        <v>2850700</v>
      </c>
      <c r="D3" s="15">
        <f t="shared" si="0"/>
        <v>-285100</v>
      </c>
      <c r="E3" s="13">
        <v>0.90908221187575733</v>
      </c>
      <c r="F3" s="9">
        <f t="shared" si="1"/>
        <v>0.90908221187575733</v>
      </c>
      <c r="G3" s="6" t="str">
        <f t="shared" si="2"/>
        <v>WATCH</v>
      </c>
    </row>
    <row r="4" spans="1:7" x14ac:dyDescent="0.25">
      <c r="A4" s="13" t="s">
        <v>120</v>
      </c>
      <c r="B4" s="15">
        <v>1931100</v>
      </c>
      <c r="C4" s="15">
        <v>1839100</v>
      </c>
      <c r="D4" s="15">
        <f t="shared" si="0"/>
        <v>-92000</v>
      </c>
      <c r="E4" s="13">
        <v>0.95235875925638236</v>
      </c>
      <c r="F4" s="9">
        <f t="shared" si="1"/>
        <v>0.95235875925638236</v>
      </c>
      <c r="G4" s="6" t="str">
        <f t="shared" si="2"/>
        <v>WATCH</v>
      </c>
    </row>
    <row r="5" spans="1:7" x14ac:dyDescent="0.25">
      <c r="A5" s="13" t="s">
        <v>122</v>
      </c>
      <c r="B5" s="15">
        <v>913700</v>
      </c>
      <c r="C5" s="15">
        <v>853900</v>
      </c>
      <c r="D5" s="15">
        <f t="shared" si="0"/>
        <v>-59800</v>
      </c>
      <c r="E5" s="13">
        <v>0.93455182226113609</v>
      </c>
      <c r="F5" s="9">
        <f t="shared" si="1"/>
        <v>0.93455182226113609</v>
      </c>
      <c r="G5" s="6" t="str">
        <f t="shared" si="2"/>
        <v>WATCH</v>
      </c>
    </row>
    <row r="6" spans="1:7" x14ac:dyDescent="0.25">
      <c r="A6" s="13" t="s">
        <v>124</v>
      </c>
      <c r="B6" s="15">
        <v>1691800</v>
      </c>
      <c r="C6" s="15">
        <v>1510500</v>
      </c>
      <c r="D6" s="15">
        <f t="shared" si="0"/>
        <v>-181300</v>
      </c>
      <c r="E6" s="13">
        <v>0.89283603262797018</v>
      </c>
      <c r="F6" s="9">
        <f t="shared" si="1"/>
        <v>0.89283603262797018</v>
      </c>
      <c r="G6" s="6" t="str">
        <f t="shared" si="2"/>
        <v>OK</v>
      </c>
    </row>
    <row r="7" spans="1:7" x14ac:dyDescent="0.25">
      <c r="A7" s="13" t="s">
        <v>126</v>
      </c>
      <c r="B7" s="15">
        <v>1322800</v>
      </c>
      <c r="C7" s="15">
        <v>1247900</v>
      </c>
      <c r="D7" s="15">
        <f t="shared" si="0"/>
        <v>-74900</v>
      </c>
      <c r="E7" s="13">
        <v>0.94337768370123976</v>
      </c>
      <c r="F7" s="9">
        <f t="shared" si="1"/>
        <v>0.94337768370123976</v>
      </c>
      <c r="G7" s="6" t="str">
        <f t="shared" si="2"/>
        <v>WATCH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</sheetPr>
  <dimension ref="A1:C73"/>
  <sheetViews>
    <sheetView showGridLines="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1" customWidth="1"/>
    <col min="2" max="2" width="19" customWidth="1"/>
    <col min="3" max="3" width="12" customWidth="1"/>
  </cols>
  <sheetData>
    <row r="1" spans="1:3" x14ac:dyDescent="0.25">
      <c r="A1" s="11" t="s">
        <v>1</v>
      </c>
      <c r="B1" s="11" t="s">
        <v>113</v>
      </c>
      <c r="C1" s="11" t="s">
        <v>224</v>
      </c>
    </row>
    <row r="2" spans="1:3" x14ac:dyDescent="0.25">
      <c r="A2" s="14">
        <v>45658</v>
      </c>
      <c r="B2" s="13" t="s">
        <v>116</v>
      </c>
      <c r="C2" s="15">
        <v>827272.96</v>
      </c>
    </row>
    <row r="3" spans="1:3" x14ac:dyDescent="0.25">
      <c r="A3" s="14">
        <v>45689</v>
      </c>
      <c r="B3" s="13" t="s">
        <v>116</v>
      </c>
      <c r="C3" s="15">
        <v>860363.88</v>
      </c>
    </row>
    <row r="4" spans="1:3" x14ac:dyDescent="0.25">
      <c r="A4" s="14">
        <v>45717</v>
      </c>
      <c r="B4" s="13" t="s">
        <v>116</v>
      </c>
      <c r="C4" s="15">
        <v>882424.49</v>
      </c>
    </row>
    <row r="5" spans="1:3" x14ac:dyDescent="0.25">
      <c r="A5" s="14">
        <v>45748</v>
      </c>
      <c r="B5" s="13" t="s">
        <v>116</v>
      </c>
      <c r="C5" s="15">
        <v>893454.8</v>
      </c>
    </row>
    <row r="6" spans="1:3" x14ac:dyDescent="0.25">
      <c r="A6" s="14">
        <v>45778</v>
      </c>
      <c r="B6" s="13" t="s">
        <v>116</v>
      </c>
      <c r="C6" s="15">
        <v>904485.1</v>
      </c>
    </row>
    <row r="7" spans="1:3" x14ac:dyDescent="0.25">
      <c r="A7" s="14">
        <v>45809</v>
      </c>
      <c r="B7" s="13" t="s">
        <v>116</v>
      </c>
      <c r="C7" s="15">
        <v>915515.41</v>
      </c>
    </row>
    <row r="8" spans="1:3" x14ac:dyDescent="0.25">
      <c r="A8" s="14">
        <v>45839</v>
      </c>
      <c r="B8" s="13" t="s">
        <v>116</v>
      </c>
      <c r="C8" s="15">
        <v>926545.71</v>
      </c>
    </row>
    <row r="9" spans="1:3" x14ac:dyDescent="0.25">
      <c r="A9" s="14">
        <v>45870</v>
      </c>
      <c r="B9" s="13" t="s">
        <v>116</v>
      </c>
      <c r="C9" s="15">
        <v>904485.1</v>
      </c>
    </row>
    <row r="10" spans="1:3" x14ac:dyDescent="0.25">
      <c r="A10" s="14">
        <v>45901</v>
      </c>
      <c r="B10" s="13" t="s">
        <v>116</v>
      </c>
      <c r="C10" s="15">
        <v>915515.41</v>
      </c>
    </row>
    <row r="11" spans="1:3" x14ac:dyDescent="0.25">
      <c r="A11" s="14">
        <v>45931</v>
      </c>
      <c r="B11" s="13" t="s">
        <v>116</v>
      </c>
      <c r="C11" s="15">
        <v>926545.71</v>
      </c>
    </row>
    <row r="12" spans="1:3" x14ac:dyDescent="0.25">
      <c r="A12" s="14">
        <v>45962</v>
      </c>
      <c r="B12" s="13" t="s">
        <v>116</v>
      </c>
      <c r="C12" s="15">
        <v>926545.71</v>
      </c>
    </row>
    <row r="13" spans="1:3" x14ac:dyDescent="0.25">
      <c r="A13" s="14">
        <v>45992</v>
      </c>
      <c r="B13" s="13" t="s">
        <v>116</v>
      </c>
      <c r="C13" s="15">
        <v>926545.71</v>
      </c>
    </row>
    <row r="14" spans="1:3" x14ac:dyDescent="0.25">
      <c r="A14" s="14">
        <v>45658</v>
      </c>
      <c r="B14" s="13" t="s">
        <v>118</v>
      </c>
      <c r="C14" s="15">
        <v>239984.69</v>
      </c>
    </row>
    <row r="15" spans="1:3" x14ac:dyDescent="0.25">
      <c r="A15" s="14">
        <v>45689</v>
      </c>
      <c r="B15" s="13" t="s">
        <v>118</v>
      </c>
      <c r="C15" s="15">
        <v>249584.08</v>
      </c>
    </row>
    <row r="16" spans="1:3" x14ac:dyDescent="0.25">
      <c r="A16" s="14">
        <v>45717</v>
      </c>
      <c r="B16" s="13" t="s">
        <v>118</v>
      </c>
      <c r="C16" s="15">
        <v>255983.67</v>
      </c>
    </row>
    <row r="17" spans="1:3" x14ac:dyDescent="0.25">
      <c r="A17" s="14">
        <v>45748</v>
      </c>
      <c r="B17" s="13" t="s">
        <v>118</v>
      </c>
      <c r="C17" s="15">
        <v>259183.47</v>
      </c>
    </row>
    <row r="18" spans="1:3" x14ac:dyDescent="0.25">
      <c r="A18" s="14">
        <v>45778</v>
      </c>
      <c r="B18" s="13" t="s">
        <v>118</v>
      </c>
      <c r="C18" s="15">
        <v>262383.27</v>
      </c>
    </row>
    <row r="19" spans="1:3" x14ac:dyDescent="0.25">
      <c r="A19" s="14">
        <v>45809</v>
      </c>
      <c r="B19" s="13" t="s">
        <v>118</v>
      </c>
      <c r="C19" s="15">
        <v>265583.06</v>
      </c>
    </row>
    <row r="20" spans="1:3" x14ac:dyDescent="0.25">
      <c r="A20" s="14">
        <v>45839</v>
      </c>
      <c r="B20" s="13" t="s">
        <v>118</v>
      </c>
      <c r="C20" s="15">
        <v>268782.86</v>
      </c>
    </row>
    <row r="21" spans="1:3" x14ac:dyDescent="0.25">
      <c r="A21" s="14">
        <v>45870</v>
      </c>
      <c r="B21" s="13" t="s">
        <v>118</v>
      </c>
      <c r="C21" s="15">
        <v>262383.27</v>
      </c>
    </row>
    <row r="22" spans="1:3" x14ac:dyDescent="0.25">
      <c r="A22" s="14">
        <v>45901</v>
      </c>
      <c r="B22" s="13" t="s">
        <v>118</v>
      </c>
      <c r="C22" s="15">
        <v>265583.06</v>
      </c>
    </row>
    <row r="23" spans="1:3" x14ac:dyDescent="0.25">
      <c r="A23" s="14">
        <v>45931</v>
      </c>
      <c r="B23" s="13" t="s">
        <v>118</v>
      </c>
      <c r="C23" s="15">
        <v>268782.86</v>
      </c>
    </row>
    <row r="24" spans="1:3" x14ac:dyDescent="0.25">
      <c r="A24" s="14">
        <v>45962</v>
      </c>
      <c r="B24" s="13" t="s">
        <v>118</v>
      </c>
      <c r="C24" s="15">
        <v>268782.86</v>
      </c>
    </row>
    <row r="25" spans="1:3" x14ac:dyDescent="0.25">
      <c r="A25" s="14">
        <v>45992</v>
      </c>
      <c r="B25" s="13" t="s">
        <v>118</v>
      </c>
      <c r="C25" s="15">
        <v>268782.86</v>
      </c>
    </row>
    <row r="26" spans="1:3" x14ac:dyDescent="0.25">
      <c r="A26" s="14">
        <v>45658</v>
      </c>
      <c r="B26" s="13" t="s">
        <v>120</v>
      </c>
      <c r="C26" s="15">
        <v>147788.26999999999</v>
      </c>
    </row>
    <row r="27" spans="1:3" x14ac:dyDescent="0.25">
      <c r="A27" s="14">
        <v>45689</v>
      </c>
      <c r="B27" s="13" t="s">
        <v>120</v>
      </c>
      <c r="C27" s="15">
        <v>153699.79999999999</v>
      </c>
    </row>
    <row r="28" spans="1:3" x14ac:dyDescent="0.25">
      <c r="A28" s="14">
        <v>45717</v>
      </c>
      <c r="B28" s="13" t="s">
        <v>120</v>
      </c>
      <c r="C28" s="15">
        <v>157640.82</v>
      </c>
    </row>
    <row r="29" spans="1:3" x14ac:dyDescent="0.25">
      <c r="A29" s="14">
        <v>45748</v>
      </c>
      <c r="B29" s="13" t="s">
        <v>120</v>
      </c>
      <c r="C29" s="15">
        <v>159611.32999999999</v>
      </c>
    </row>
    <row r="30" spans="1:3" x14ac:dyDescent="0.25">
      <c r="A30" s="14">
        <v>45778</v>
      </c>
      <c r="B30" s="13" t="s">
        <v>120</v>
      </c>
      <c r="C30" s="15">
        <v>161581.84</v>
      </c>
    </row>
    <row r="31" spans="1:3" x14ac:dyDescent="0.25">
      <c r="A31" s="14">
        <v>45809</v>
      </c>
      <c r="B31" s="13" t="s">
        <v>120</v>
      </c>
      <c r="C31" s="15">
        <v>163552.35</v>
      </c>
    </row>
    <row r="32" spans="1:3" x14ac:dyDescent="0.25">
      <c r="A32" s="14">
        <v>45839</v>
      </c>
      <c r="B32" s="13" t="s">
        <v>120</v>
      </c>
      <c r="C32" s="15">
        <v>165522.85999999999</v>
      </c>
    </row>
    <row r="33" spans="1:3" x14ac:dyDescent="0.25">
      <c r="A33" s="14">
        <v>45870</v>
      </c>
      <c r="B33" s="13" t="s">
        <v>120</v>
      </c>
      <c r="C33" s="15">
        <v>161581.84</v>
      </c>
    </row>
    <row r="34" spans="1:3" x14ac:dyDescent="0.25">
      <c r="A34" s="14">
        <v>45901</v>
      </c>
      <c r="B34" s="13" t="s">
        <v>120</v>
      </c>
      <c r="C34" s="15">
        <v>163552.35</v>
      </c>
    </row>
    <row r="35" spans="1:3" x14ac:dyDescent="0.25">
      <c r="A35" s="14">
        <v>45931</v>
      </c>
      <c r="B35" s="13" t="s">
        <v>120</v>
      </c>
      <c r="C35" s="15">
        <v>165522.85999999999</v>
      </c>
    </row>
    <row r="36" spans="1:3" x14ac:dyDescent="0.25">
      <c r="A36" s="14">
        <v>45962</v>
      </c>
      <c r="B36" s="13" t="s">
        <v>120</v>
      </c>
      <c r="C36" s="15">
        <v>165522.85999999999</v>
      </c>
    </row>
    <row r="37" spans="1:3" x14ac:dyDescent="0.25">
      <c r="A37" s="14">
        <v>45992</v>
      </c>
      <c r="B37" s="13" t="s">
        <v>120</v>
      </c>
      <c r="C37" s="15">
        <v>165522.85999999999</v>
      </c>
    </row>
    <row r="38" spans="1:3" x14ac:dyDescent="0.25">
      <c r="A38" s="14">
        <v>45658</v>
      </c>
      <c r="B38" s="13" t="s">
        <v>122</v>
      </c>
      <c r="C38" s="15">
        <v>69926.02</v>
      </c>
    </row>
    <row r="39" spans="1:3" x14ac:dyDescent="0.25">
      <c r="A39" s="14">
        <v>45689</v>
      </c>
      <c r="B39" s="13" t="s">
        <v>122</v>
      </c>
      <c r="C39" s="15">
        <v>72723.06</v>
      </c>
    </row>
    <row r="40" spans="1:3" x14ac:dyDescent="0.25">
      <c r="A40" s="14">
        <v>45717</v>
      </c>
      <c r="B40" s="13" t="s">
        <v>122</v>
      </c>
      <c r="C40" s="15">
        <v>74587.759999999995</v>
      </c>
    </row>
    <row r="41" spans="1:3" x14ac:dyDescent="0.25">
      <c r="A41" s="14">
        <v>45748</v>
      </c>
      <c r="B41" s="13" t="s">
        <v>122</v>
      </c>
      <c r="C41" s="15">
        <v>75520.100000000006</v>
      </c>
    </row>
    <row r="42" spans="1:3" x14ac:dyDescent="0.25">
      <c r="A42" s="14">
        <v>45778</v>
      </c>
      <c r="B42" s="13" t="s">
        <v>122</v>
      </c>
      <c r="C42" s="15">
        <v>76452.45</v>
      </c>
    </row>
    <row r="43" spans="1:3" x14ac:dyDescent="0.25">
      <c r="A43" s="14">
        <v>45809</v>
      </c>
      <c r="B43" s="13" t="s">
        <v>122</v>
      </c>
      <c r="C43" s="15">
        <v>77384.800000000003</v>
      </c>
    </row>
    <row r="44" spans="1:3" x14ac:dyDescent="0.25">
      <c r="A44" s="14">
        <v>45839</v>
      </c>
      <c r="B44" s="13" t="s">
        <v>122</v>
      </c>
      <c r="C44" s="15">
        <v>78317.14</v>
      </c>
    </row>
    <row r="45" spans="1:3" x14ac:dyDescent="0.25">
      <c r="A45" s="14">
        <v>45870</v>
      </c>
      <c r="B45" s="13" t="s">
        <v>122</v>
      </c>
      <c r="C45" s="15">
        <v>76452.45</v>
      </c>
    </row>
    <row r="46" spans="1:3" x14ac:dyDescent="0.25">
      <c r="A46" s="14">
        <v>45901</v>
      </c>
      <c r="B46" s="13" t="s">
        <v>122</v>
      </c>
      <c r="C46" s="15">
        <v>77384.800000000003</v>
      </c>
    </row>
    <row r="47" spans="1:3" x14ac:dyDescent="0.25">
      <c r="A47" s="14">
        <v>45931</v>
      </c>
      <c r="B47" s="13" t="s">
        <v>122</v>
      </c>
      <c r="C47" s="15">
        <v>78317.14</v>
      </c>
    </row>
    <row r="48" spans="1:3" x14ac:dyDescent="0.25">
      <c r="A48" s="14">
        <v>45962</v>
      </c>
      <c r="B48" s="13" t="s">
        <v>122</v>
      </c>
      <c r="C48" s="15">
        <v>78317.14</v>
      </c>
    </row>
    <row r="49" spans="1:3" x14ac:dyDescent="0.25">
      <c r="A49" s="14">
        <v>45992</v>
      </c>
      <c r="B49" s="13" t="s">
        <v>122</v>
      </c>
      <c r="C49" s="15">
        <v>78317.14</v>
      </c>
    </row>
    <row r="50" spans="1:3" x14ac:dyDescent="0.25">
      <c r="A50" s="14">
        <v>45658</v>
      </c>
      <c r="B50" s="13" t="s">
        <v>124</v>
      </c>
      <c r="C50" s="15">
        <v>129474.49</v>
      </c>
    </row>
    <row r="51" spans="1:3" x14ac:dyDescent="0.25">
      <c r="A51" s="14">
        <v>45689</v>
      </c>
      <c r="B51" s="13" t="s">
        <v>124</v>
      </c>
      <c r="C51" s="15">
        <v>134653.47</v>
      </c>
    </row>
    <row r="52" spans="1:3" x14ac:dyDescent="0.25">
      <c r="A52" s="14">
        <v>45717</v>
      </c>
      <c r="B52" s="13" t="s">
        <v>124</v>
      </c>
      <c r="C52" s="15">
        <v>138106.12</v>
      </c>
    </row>
    <row r="53" spans="1:3" x14ac:dyDescent="0.25">
      <c r="A53" s="14">
        <v>45748</v>
      </c>
      <c r="B53" s="13" t="s">
        <v>124</v>
      </c>
      <c r="C53" s="15">
        <v>139832.45000000001</v>
      </c>
    </row>
    <row r="54" spans="1:3" x14ac:dyDescent="0.25">
      <c r="A54" s="14">
        <v>45778</v>
      </c>
      <c r="B54" s="13" t="s">
        <v>124</v>
      </c>
      <c r="C54" s="15">
        <v>141558.78</v>
      </c>
    </row>
    <row r="55" spans="1:3" x14ac:dyDescent="0.25">
      <c r="A55" s="14">
        <v>45809</v>
      </c>
      <c r="B55" s="13" t="s">
        <v>124</v>
      </c>
      <c r="C55" s="15">
        <v>143285.1</v>
      </c>
    </row>
    <row r="56" spans="1:3" x14ac:dyDescent="0.25">
      <c r="A56" s="14">
        <v>45839</v>
      </c>
      <c r="B56" s="13" t="s">
        <v>124</v>
      </c>
      <c r="C56" s="15">
        <v>145011.43</v>
      </c>
    </row>
    <row r="57" spans="1:3" x14ac:dyDescent="0.25">
      <c r="A57" s="14">
        <v>45870</v>
      </c>
      <c r="B57" s="13" t="s">
        <v>124</v>
      </c>
      <c r="C57" s="15">
        <v>141558.78</v>
      </c>
    </row>
    <row r="58" spans="1:3" x14ac:dyDescent="0.25">
      <c r="A58" s="14">
        <v>45901</v>
      </c>
      <c r="B58" s="13" t="s">
        <v>124</v>
      </c>
      <c r="C58" s="15">
        <v>143285.1</v>
      </c>
    </row>
    <row r="59" spans="1:3" x14ac:dyDescent="0.25">
      <c r="A59" s="14">
        <v>45931</v>
      </c>
      <c r="B59" s="13" t="s">
        <v>124</v>
      </c>
      <c r="C59" s="15">
        <v>145011.43</v>
      </c>
    </row>
    <row r="60" spans="1:3" x14ac:dyDescent="0.25">
      <c r="A60" s="14">
        <v>45962</v>
      </c>
      <c r="B60" s="13" t="s">
        <v>124</v>
      </c>
      <c r="C60" s="15">
        <v>145011.43</v>
      </c>
    </row>
    <row r="61" spans="1:3" x14ac:dyDescent="0.25">
      <c r="A61" s="14">
        <v>45992</v>
      </c>
      <c r="B61" s="13" t="s">
        <v>124</v>
      </c>
      <c r="C61" s="15">
        <v>145011.43</v>
      </c>
    </row>
    <row r="62" spans="1:3" x14ac:dyDescent="0.25">
      <c r="A62" s="14">
        <v>45658</v>
      </c>
      <c r="B62" s="13" t="s">
        <v>126</v>
      </c>
      <c r="C62" s="15">
        <v>101234.69</v>
      </c>
    </row>
    <row r="63" spans="1:3" x14ac:dyDescent="0.25">
      <c r="A63" s="14">
        <v>45689</v>
      </c>
      <c r="B63" s="13" t="s">
        <v>126</v>
      </c>
      <c r="C63" s="15">
        <v>105284.08</v>
      </c>
    </row>
    <row r="64" spans="1:3" x14ac:dyDescent="0.25">
      <c r="A64" s="14">
        <v>45717</v>
      </c>
      <c r="B64" s="13" t="s">
        <v>126</v>
      </c>
      <c r="C64" s="15">
        <v>107983.67</v>
      </c>
    </row>
    <row r="65" spans="1:3" x14ac:dyDescent="0.25">
      <c r="A65" s="14">
        <v>45748</v>
      </c>
      <c r="B65" s="13" t="s">
        <v>126</v>
      </c>
      <c r="C65" s="15">
        <v>109333.47</v>
      </c>
    </row>
    <row r="66" spans="1:3" x14ac:dyDescent="0.25">
      <c r="A66" s="14">
        <v>45778</v>
      </c>
      <c r="B66" s="13" t="s">
        <v>126</v>
      </c>
      <c r="C66" s="15">
        <v>110683.27</v>
      </c>
    </row>
    <row r="67" spans="1:3" x14ac:dyDescent="0.25">
      <c r="A67" s="14">
        <v>45809</v>
      </c>
      <c r="B67" s="13" t="s">
        <v>126</v>
      </c>
      <c r="C67" s="15">
        <v>112033.06</v>
      </c>
    </row>
    <row r="68" spans="1:3" x14ac:dyDescent="0.25">
      <c r="A68" s="14">
        <v>45839</v>
      </c>
      <c r="B68" s="13" t="s">
        <v>126</v>
      </c>
      <c r="C68" s="15">
        <v>113382.86</v>
      </c>
    </row>
    <row r="69" spans="1:3" x14ac:dyDescent="0.25">
      <c r="A69" s="14">
        <v>45870</v>
      </c>
      <c r="B69" s="13" t="s">
        <v>126</v>
      </c>
      <c r="C69" s="15">
        <v>110683.27</v>
      </c>
    </row>
    <row r="70" spans="1:3" x14ac:dyDescent="0.25">
      <c r="A70" s="14">
        <v>45901</v>
      </c>
      <c r="B70" s="13" t="s">
        <v>126</v>
      </c>
      <c r="C70" s="15">
        <v>112033.06</v>
      </c>
    </row>
    <row r="71" spans="1:3" x14ac:dyDescent="0.25">
      <c r="A71" s="14">
        <v>45931</v>
      </c>
      <c r="B71" s="13" t="s">
        <v>126</v>
      </c>
      <c r="C71" s="15">
        <v>113382.86</v>
      </c>
    </row>
    <row r="72" spans="1:3" x14ac:dyDescent="0.25">
      <c r="A72" s="14">
        <v>45962</v>
      </c>
      <c r="B72" s="13" t="s">
        <v>126</v>
      </c>
      <c r="C72" s="15">
        <v>113382.86</v>
      </c>
    </row>
    <row r="73" spans="1:3" x14ac:dyDescent="0.25">
      <c r="A73" s="14">
        <v>45992</v>
      </c>
      <c r="B73" s="13" t="s">
        <v>126</v>
      </c>
      <c r="C73" s="15">
        <v>113382.86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1:F74"/>
  <sheetViews>
    <sheetView showGridLines="0" workbookViewId="0">
      <pane ySplit="1" topLeftCell="A2" activePane="bottomLeft" state="frozen"/>
      <selection pane="bottomLeft" activeCell="I45" sqref="I45"/>
    </sheetView>
  </sheetViews>
  <sheetFormatPr defaultRowHeight="15" x14ac:dyDescent="0.25"/>
  <cols>
    <col min="1" max="1" width="21" customWidth="1"/>
    <col min="2" max="2" width="19" customWidth="1"/>
    <col min="3" max="3" width="12" customWidth="1"/>
    <col min="4" max="4" width="16" customWidth="1"/>
    <col min="5" max="5" width="21" customWidth="1"/>
    <col min="6" max="6" width="20" customWidth="1"/>
  </cols>
  <sheetData>
    <row r="1" spans="1:6" x14ac:dyDescent="0.25">
      <c r="A1" s="11" t="s">
        <v>1</v>
      </c>
      <c r="B1" s="11" t="s">
        <v>113</v>
      </c>
      <c r="C1" s="11" t="s">
        <v>224</v>
      </c>
      <c r="D1" s="11" t="s">
        <v>114</v>
      </c>
      <c r="E1" s="11" t="s">
        <v>221</v>
      </c>
      <c r="F1" s="11" t="s">
        <v>222</v>
      </c>
    </row>
    <row r="2" spans="1:6" x14ac:dyDescent="0.25">
      <c r="A2" s="14">
        <v>45658</v>
      </c>
      <c r="B2" s="13" t="s">
        <v>116</v>
      </c>
      <c r="C2" s="15">
        <v>827272.96</v>
      </c>
      <c r="D2" s="15">
        <v>746800</v>
      </c>
      <c r="E2" s="15">
        <f>C2-D2</f>
        <v>80472.959999999963</v>
      </c>
      <c r="F2" s="13">
        <f>D2/C2</f>
        <v>0.90272502077186234</v>
      </c>
    </row>
    <row r="3" spans="1:6" x14ac:dyDescent="0.25">
      <c r="A3" s="14">
        <v>45689</v>
      </c>
      <c r="B3" s="13" t="s">
        <v>116</v>
      </c>
      <c r="C3" s="15">
        <v>860363.88</v>
      </c>
      <c r="D3" s="15">
        <v>778800</v>
      </c>
      <c r="E3" s="15">
        <f t="shared" ref="E3:E66" si="0">C3-D3</f>
        <v>81563.88</v>
      </c>
      <c r="F3" s="13">
        <f t="shared" ref="F3:F66" si="1">D3/C3</f>
        <v>0.90519839117374379</v>
      </c>
    </row>
    <row r="4" spans="1:6" x14ac:dyDescent="0.25">
      <c r="A4" s="14">
        <v>45717</v>
      </c>
      <c r="B4" s="13" t="s">
        <v>116</v>
      </c>
      <c r="C4" s="15">
        <v>882424.49</v>
      </c>
      <c r="D4" s="15">
        <v>780300</v>
      </c>
      <c r="E4" s="15">
        <f t="shared" si="0"/>
        <v>102124.48999999999</v>
      </c>
      <c r="F4" s="13">
        <f t="shared" si="1"/>
        <v>0.88426829586291289</v>
      </c>
    </row>
    <row r="5" spans="1:6" x14ac:dyDescent="0.25">
      <c r="A5" s="14">
        <v>45748</v>
      </c>
      <c r="B5" s="13" t="s">
        <v>116</v>
      </c>
      <c r="C5" s="15">
        <v>893454.8</v>
      </c>
      <c r="D5" s="15">
        <v>813100</v>
      </c>
      <c r="E5" s="15">
        <f t="shared" si="0"/>
        <v>80354.800000000047</v>
      </c>
      <c r="F5" s="13">
        <f t="shared" si="1"/>
        <v>0.91006282578592668</v>
      </c>
    </row>
    <row r="6" spans="1:6" x14ac:dyDescent="0.25">
      <c r="A6" s="14">
        <v>45778</v>
      </c>
      <c r="B6" s="13" t="s">
        <v>116</v>
      </c>
      <c r="C6" s="15">
        <v>904485.1</v>
      </c>
      <c r="D6" s="15">
        <v>790600</v>
      </c>
      <c r="E6" s="15">
        <f t="shared" si="0"/>
        <v>113885.09999999998</v>
      </c>
      <c r="F6" s="13">
        <f t="shared" si="1"/>
        <v>0.87408847309922522</v>
      </c>
    </row>
    <row r="7" spans="1:6" x14ac:dyDescent="0.25">
      <c r="A7" s="14">
        <v>45809</v>
      </c>
      <c r="B7" s="13" t="s">
        <v>116</v>
      </c>
      <c r="C7" s="15">
        <v>915515.41</v>
      </c>
      <c r="D7" s="15">
        <v>823900</v>
      </c>
      <c r="E7" s="15">
        <f t="shared" si="0"/>
        <v>91615.410000000033</v>
      </c>
      <c r="F7" s="13">
        <f t="shared" si="1"/>
        <v>0.89993023711091868</v>
      </c>
    </row>
    <row r="8" spans="1:6" x14ac:dyDescent="0.25">
      <c r="A8" s="14">
        <v>45839</v>
      </c>
      <c r="B8" s="13" t="s">
        <v>116</v>
      </c>
      <c r="C8" s="15">
        <v>926545.71</v>
      </c>
      <c r="D8" s="15">
        <v>849500</v>
      </c>
      <c r="E8" s="15">
        <f t="shared" si="0"/>
        <v>77045.709999999963</v>
      </c>
      <c r="F8" s="13">
        <f t="shared" si="1"/>
        <v>0.9168462935304077</v>
      </c>
    </row>
    <row r="9" spans="1:6" x14ac:dyDescent="0.25">
      <c r="A9" s="14">
        <v>45870</v>
      </c>
      <c r="B9" s="13" t="s">
        <v>116</v>
      </c>
      <c r="C9" s="15">
        <v>904485.1</v>
      </c>
      <c r="D9" s="15">
        <v>826000</v>
      </c>
      <c r="E9" s="15">
        <f t="shared" si="0"/>
        <v>78485.099999999977</v>
      </c>
      <c r="F9" s="13">
        <f t="shared" si="1"/>
        <v>0.91322676293948901</v>
      </c>
    </row>
    <row r="10" spans="1:6" x14ac:dyDescent="0.25">
      <c r="A10" s="14">
        <v>45901</v>
      </c>
      <c r="B10" s="13" t="s">
        <v>116</v>
      </c>
      <c r="C10" s="15">
        <v>915515.41</v>
      </c>
      <c r="D10" s="15">
        <v>876900</v>
      </c>
      <c r="E10" s="15">
        <f t="shared" si="0"/>
        <v>38615.410000000033</v>
      </c>
      <c r="F10" s="13">
        <f t="shared" si="1"/>
        <v>0.95782112504255934</v>
      </c>
    </row>
    <row r="11" spans="1:6" x14ac:dyDescent="0.25">
      <c r="A11" s="14">
        <v>45931</v>
      </c>
      <c r="B11" s="13" t="s">
        <v>116</v>
      </c>
      <c r="C11" s="15">
        <v>926545.71</v>
      </c>
      <c r="D11" s="15">
        <v>861200</v>
      </c>
      <c r="E11" s="15">
        <f t="shared" si="0"/>
        <v>65345.709999999963</v>
      </c>
      <c r="F11" s="13">
        <f t="shared" si="1"/>
        <v>0.92947384106931974</v>
      </c>
    </row>
    <row r="12" spans="1:6" x14ac:dyDescent="0.25">
      <c r="A12" s="14">
        <v>45962</v>
      </c>
      <c r="B12" s="13" t="s">
        <v>116</v>
      </c>
      <c r="C12" s="15">
        <v>926545.71</v>
      </c>
      <c r="D12" s="15">
        <v>913100</v>
      </c>
      <c r="E12" s="15">
        <f t="shared" si="0"/>
        <v>13445.709999999963</v>
      </c>
      <c r="F12" s="13">
        <f t="shared" si="1"/>
        <v>0.98548834681885267</v>
      </c>
    </row>
    <row r="13" spans="1:6" x14ac:dyDescent="0.25">
      <c r="A13" s="14">
        <v>45992</v>
      </c>
      <c r="B13" s="13" t="s">
        <v>116</v>
      </c>
      <c r="C13" s="15">
        <v>926545.71</v>
      </c>
      <c r="D13" s="15">
        <v>948800</v>
      </c>
      <c r="E13" s="15">
        <f t="shared" si="0"/>
        <v>-22254.290000000037</v>
      </c>
      <c r="F13" s="13">
        <f t="shared" si="1"/>
        <v>1.0240185559760457</v>
      </c>
    </row>
    <row r="14" spans="1:6" x14ac:dyDescent="0.25">
      <c r="A14" s="14">
        <v>45658</v>
      </c>
      <c r="B14" s="13" t="s">
        <v>118</v>
      </c>
      <c r="C14" s="15">
        <v>239984.69</v>
      </c>
      <c r="D14" s="15">
        <v>212700</v>
      </c>
      <c r="E14" s="15">
        <f t="shared" si="0"/>
        <v>27284.690000000002</v>
      </c>
      <c r="F14" s="13">
        <f t="shared" si="1"/>
        <v>0.88630653897129852</v>
      </c>
    </row>
    <row r="15" spans="1:6" x14ac:dyDescent="0.25">
      <c r="A15" s="14">
        <v>45689</v>
      </c>
      <c r="B15" s="13" t="s">
        <v>118</v>
      </c>
      <c r="C15" s="15">
        <v>249584.08</v>
      </c>
      <c r="D15" s="15">
        <v>221800</v>
      </c>
      <c r="E15" s="15">
        <f t="shared" si="0"/>
        <v>27784.079999999987</v>
      </c>
      <c r="F15" s="13">
        <f t="shared" si="1"/>
        <v>0.88867847660796317</v>
      </c>
    </row>
    <row r="16" spans="1:6" x14ac:dyDescent="0.25">
      <c r="A16" s="14">
        <v>45717</v>
      </c>
      <c r="B16" s="13" t="s">
        <v>118</v>
      </c>
      <c r="C16" s="15">
        <v>255983.67</v>
      </c>
      <c r="D16" s="15">
        <v>222200</v>
      </c>
      <c r="E16" s="15">
        <f t="shared" si="0"/>
        <v>33783.670000000013</v>
      </c>
      <c r="F16" s="13">
        <f t="shared" si="1"/>
        <v>0.86802412044487054</v>
      </c>
    </row>
    <row r="17" spans="1:6" x14ac:dyDescent="0.25">
      <c r="A17" s="14">
        <v>45748</v>
      </c>
      <c r="B17" s="13" t="s">
        <v>118</v>
      </c>
      <c r="C17" s="15">
        <v>259183.47</v>
      </c>
      <c r="D17" s="15">
        <v>231600</v>
      </c>
      <c r="E17" s="15">
        <f t="shared" si="0"/>
        <v>27583.47</v>
      </c>
      <c r="F17" s="13">
        <f t="shared" si="1"/>
        <v>0.89357550464155755</v>
      </c>
    </row>
    <row r="18" spans="1:6" x14ac:dyDescent="0.25">
      <c r="A18" s="14">
        <v>45778</v>
      </c>
      <c r="B18" s="13" t="s">
        <v>118</v>
      </c>
      <c r="C18" s="15">
        <v>262383.27</v>
      </c>
      <c r="D18" s="15">
        <v>225200</v>
      </c>
      <c r="E18" s="15">
        <f t="shared" si="0"/>
        <v>37183.270000000019</v>
      </c>
      <c r="F18" s="13">
        <f t="shared" si="1"/>
        <v>0.85828642961877866</v>
      </c>
    </row>
    <row r="19" spans="1:6" x14ac:dyDescent="0.25">
      <c r="A19" s="14">
        <v>45809</v>
      </c>
      <c r="B19" s="13" t="s">
        <v>118</v>
      </c>
      <c r="C19" s="15">
        <v>265583.06</v>
      </c>
      <c r="D19" s="15">
        <v>234600</v>
      </c>
      <c r="E19" s="15">
        <f t="shared" si="0"/>
        <v>30983.059999999998</v>
      </c>
      <c r="F19" s="13">
        <f t="shared" si="1"/>
        <v>0.88333947202807284</v>
      </c>
    </row>
    <row r="20" spans="1:6" x14ac:dyDescent="0.25">
      <c r="A20" s="14">
        <v>45839</v>
      </c>
      <c r="B20" s="13" t="s">
        <v>118</v>
      </c>
      <c r="C20" s="15">
        <v>268782.86</v>
      </c>
      <c r="D20" s="15">
        <v>242000</v>
      </c>
      <c r="E20" s="15">
        <f t="shared" si="0"/>
        <v>26782.859999999986</v>
      </c>
      <c r="F20" s="13">
        <f t="shared" si="1"/>
        <v>0.90035503007892692</v>
      </c>
    </row>
    <row r="21" spans="1:6" x14ac:dyDescent="0.25">
      <c r="A21" s="14">
        <v>45870</v>
      </c>
      <c r="B21" s="13" t="s">
        <v>118</v>
      </c>
      <c r="C21" s="15">
        <v>262383.27</v>
      </c>
      <c r="D21" s="15">
        <v>235300</v>
      </c>
      <c r="E21" s="15">
        <f t="shared" si="0"/>
        <v>27083.270000000019</v>
      </c>
      <c r="F21" s="13">
        <f t="shared" si="1"/>
        <v>0.89677973751908791</v>
      </c>
    </row>
    <row r="22" spans="1:6" x14ac:dyDescent="0.25">
      <c r="A22" s="14">
        <v>45901</v>
      </c>
      <c r="B22" s="13" t="s">
        <v>118</v>
      </c>
      <c r="C22" s="15">
        <v>265583.06</v>
      </c>
      <c r="D22" s="15">
        <v>249700</v>
      </c>
      <c r="E22" s="15">
        <f t="shared" si="0"/>
        <v>15883.059999999998</v>
      </c>
      <c r="F22" s="13">
        <f t="shared" si="1"/>
        <v>0.94019550795144846</v>
      </c>
    </row>
    <row r="23" spans="1:6" x14ac:dyDescent="0.25">
      <c r="A23" s="14">
        <v>45931</v>
      </c>
      <c r="B23" s="13" t="s">
        <v>118</v>
      </c>
      <c r="C23" s="15">
        <v>268782.86</v>
      </c>
      <c r="D23" s="15">
        <v>245300</v>
      </c>
      <c r="E23" s="15">
        <f t="shared" si="0"/>
        <v>23482.859999999986</v>
      </c>
      <c r="F23" s="13">
        <f t="shared" si="1"/>
        <v>0.91263259867091229</v>
      </c>
    </row>
    <row r="24" spans="1:6" x14ac:dyDescent="0.25">
      <c r="A24" s="14">
        <v>45962</v>
      </c>
      <c r="B24" s="13" t="s">
        <v>118</v>
      </c>
      <c r="C24" s="15">
        <v>268782.86</v>
      </c>
      <c r="D24" s="15">
        <v>260000</v>
      </c>
      <c r="E24" s="15">
        <f t="shared" si="0"/>
        <v>8782.859999999986</v>
      </c>
      <c r="F24" s="13">
        <f t="shared" si="1"/>
        <v>0.96732358603521074</v>
      </c>
    </row>
    <row r="25" spans="1:6" x14ac:dyDescent="0.25">
      <c r="A25" s="14">
        <v>45992</v>
      </c>
      <c r="B25" s="13" t="s">
        <v>118</v>
      </c>
      <c r="C25" s="15">
        <v>268782.86</v>
      </c>
      <c r="D25" s="15">
        <v>270300</v>
      </c>
      <c r="E25" s="15">
        <f t="shared" si="0"/>
        <v>-1517.140000000014</v>
      </c>
      <c r="F25" s="13">
        <f t="shared" si="1"/>
        <v>1.0056444819435288</v>
      </c>
    </row>
    <row r="26" spans="1:6" x14ac:dyDescent="0.25">
      <c r="A26" s="14">
        <v>45658</v>
      </c>
      <c r="B26" s="13" t="s">
        <v>120</v>
      </c>
      <c r="C26" s="15">
        <v>147788.26999999999</v>
      </c>
      <c r="D26" s="15">
        <v>137200</v>
      </c>
      <c r="E26" s="15">
        <f t="shared" si="0"/>
        <v>10588.26999999999</v>
      </c>
      <c r="F26" s="13">
        <f t="shared" si="1"/>
        <v>0.92835513941668046</v>
      </c>
    </row>
    <row r="27" spans="1:6" x14ac:dyDescent="0.25">
      <c r="A27" s="14">
        <v>45689</v>
      </c>
      <c r="B27" s="13" t="s">
        <v>120</v>
      </c>
      <c r="C27" s="15">
        <v>153699.79999999999</v>
      </c>
      <c r="D27" s="15">
        <v>143100</v>
      </c>
      <c r="E27" s="15">
        <f t="shared" si="0"/>
        <v>10599.799999999988</v>
      </c>
      <c r="F27" s="13">
        <f t="shared" si="1"/>
        <v>0.93103569425594579</v>
      </c>
    </row>
    <row r="28" spans="1:6" x14ac:dyDescent="0.25">
      <c r="A28" s="14">
        <v>45717</v>
      </c>
      <c r="B28" s="13" t="s">
        <v>120</v>
      </c>
      <c r="C28" s="15">
        <v>157640.82</v>
      </c>
      <c r="D28" s="15">
        <v>143400</v>
      </c>
      <c r="E28" s="15">
        <f t="shared" si="0"/>
        <v>14240.820000000007</v>
      </c>
      <c r="F28" s="13">
        <f t="shared" si="1"/>
        <v>0.9096628652401072</v>
      </c>
    </row>
    <row r="29" spans="1:6" x14ac:dyDescent="0.25">
      <c r="A29" s="14">
        <v>45748</v>
      </c>
      <c r="B29" s="13" t="s">
        <v>120</v>
      </c>
      <c r="C29" s="15">
        <v>159611.32999999999</v>
      </c>
      <c r="D29" s="15">
        <v>149400</v>
      </c>
      <c r="E29" s="15">
        <f t="shared" si="0"/>
        <v>10211.329999999987</v>
      </c>
      <c r="F29" s="13">
        <f t="shared" si="1"/>
        <v>0.93602377725942143</v>
      </c>
    </row>
    <row r="30" spans="1:6" x14ac:dyDescent="0.25">
      <c r="A30" s="14">
        <v>45778</v>
      </c>
      <c r="B30" s="13" t="s">
        <v>120</v>
      </c>
      <c r="C30" s="15">
        <v>161581.84</v>
      </c>
      <c r="D30" s="15">
        <v>145300</v>
      </c>
      <c r="E30" s="15">
        <f t="shared" si="0"/>
        <v>16281.839999999997</v>
      </c>
      <c r="F30" s="13">
        <f t="shared" si="1"/>
        <v>0.89923471598045923</v>
      </c>
    </row>
    <row r="31" spans="1:6" x14ac:dyDescent="0.25">
      <c r="A31" s="14">
        <v>45809</v>
      </c>
      <c r="B31" s="13" t="s">
        <v>120</v>
      </c>
      <c r="C31" s="15">
        <v>163552.35</v>
      </c>
      <c r="D31" s="15">
        <v>151400</v>
      </c>
      <c r="E31" s="15">
        <f t="shared" si="0"/>
        <v>12152.350000000006</v>
      </c>
      <c r="F31" s="13">
        <f t="shared" si="1"/>
        <v>0.92569749074226082</v>
      </c>
    </row>
    <row r="32" spans="1:6" x14ac:dyDescent="0.25">
      <c r="A32" s="14">
        <v>45839</v>
      </c>
      <c r="B32" s="13" t="s">
        <v>120</v>
      </c>
      <c r="C32" s="15">
        <v>165522.85999999999</v>
      </c>
      <c r="D32" s="15">
        <v>156100</v>
      </c>
      <c r="E32" s="15">
        <f t="shared" si="0"/>
        <v>9422.859999999986</v>
      </c>
      <c r="F32" s="13">
        <f t="shared" si="1"/>
        <v>0.9430721532965296</v>
      </c>
    </row>
    <row r="33" spans="1:6" x14ac:dyDescent="0.25">
      <c r="A33" s="14">
        <v>45870</v>
      </c>
      <c r="B33" s="13" t="s">
        <v>120</v>
      </c>
      <c r="C33" s="15">
        <v>161581.84</v>
      </c>
      <c r="D33" s="15">
        <v>151800</v>
      </c>
      <c r="E33" s="15">
        <f t="shared" si="0"/>
        <v>9781.8399999999965</v>
      </c>
      <c r="F33" s="13">
        <f t="shared" si="1"/>
        <v>0.93946200884950937</v>
      </c>
    </row>
    <row r="34" spans="1:6" x14ac:dyDescent="0.25">
      <c r="A34" s="14">
        <v>45901</v>
      </c>
      <c r="B34" s="13" t="s">
        <v>120</v>
      </c>
      <c r="C34" s="15">
        <v>163552.35</v>
      </c>
      <c r="D34" s="15">
        <v>161100</v>
      </c>
      <c r="E34" s="15">
        <f t="shared" si="0"/>
        <v>2452.3500000000058</v>
      </c>
      <c r="F34" s="13">
        <f t="shared" si="1"/>
        <v>0.98500571835256412</v>
      </c>
    </row>
    <row r="35" spans="1:6" x14ac:dyDescent="0.25">
      <c r="A35" s="14">
        <v>45931</v>
      </c>
      <c r="B35" s="13" t="s">
        <v>120</v>
      </c>
      <c r="C35" s="15">
        <v>165522.85999999999</v>
      </c>
      <c r="D35" s="15">
        <v>158200</v>
      </c>
      <c r="E35" s="15">
        <f t="shared" si="0"/>
        <v>7322.859999999986</v>
      </c>
      <c r="F35" s="13">
        <f t="shared" si="1"/>
        <v>0.95575922262338875</v>
      </c>
    </row>
    <row r="36" spans="1:6" x14ac:dyDescent="0.25">
      <c r="A36" s="14">
        <v>45962</v>
      </c>
      <c r="B36" s="13" t="s">
        <v>120</v>
      </c>
      <c r="C36" s="15">
        <v>165522.85999999999</v>
      </c>
      <c r="D36" s="15">
        <v>167800</v>
      </c>
      <c r="E36" s="15">
        <f t="shared" si="0"/>
        <v>-2277.140000000014</v>
      </c>
      <c r="F36" s="13">
        <f t="shared" si="1"/>
        <v>1.0137572538318878</v>
      </c>
    </row>
    <row r="37" spans="1:6" x14ac:dyDescent="0.25">
      <c r="A37" s="14">
        <v>45992</v>
      </c>
      <c r="B37" s="13" t="s">
        <v>120</v>
      </c>
      <c r="C37" s="15">
        <v>165522.85999999999</v>
      </c>
      <c r="D37" s="15">
        <v>174300</v>
      </c>
      <c r="E37" s="15">
        <f t="shared" si="0"/>
        <v>-8777.140000000014</v>
      </c>
      <c r="F37" s="13">
        <f t="shared" si="1"/>
        <v>1.0530267541293088</v>
      </c>
    </row>
    <row r="38" spans="1:6" x14ac:dyDescent="0.25">
      <c r="A38" s="14">
        <v>45658</v>
      </c>
      <c r="B38" s="13" t="s">
        <v>122</v>
      </c>
      <c r="C38" s="15">
        <v>69926.02</v>
      </c>
      <c r="D38" s="15">
        <v>63700</v>
      </c>
      <c r="E38" s="15">
        <f t="shared" si="0"/>
        <v>6226.0200000000041</v>
      </c>
      <c r="F38" s="13">
        <f t="shared" si="1"/>
        <v>0.91096275749713762</v>
      </c>
    </row>
    <row r="39" spans="1:6" x14ac:dyDescent="0.25">
      <c r="A39" s="14">
        <v>45689</v>
      </c>
      <c r="B39" s="13" t="s">
        <v>122</v>
      </c>
      <c r="C39" s="15">
        <v>72723.06</v>
      </c>
      <c r="D39" s="15">
        <v>66400</v>
      </c>
      <c r="E39" s="15">
        <f t="shared" si="0"/>
        <v>6323.0599999999977</v>
      </c>
      <c r="F39" s="13">
        <f t="shared" si="1"/>
        <v>0.91305288858857148</v>
      </c>
    </row>
    <row r="40" spans="1:6" x14ac:dyDescent="0.25">
      <c r="A40" s="14">
        <v>45717</v>
      </c>
      <c r="B40" s="13" t="s">
        <v>122</v>
      </c>
      <c r="C40" s="15">
        <v>74587.759999999995</v>
      </c>
      <c r="D40" s="15">
        <v>66600</v>
      </c>
      <c r="E40" s="15">
        <f t="shared" si="0"/>
        <v>7987.7599999999948</v>
      </c>
      <c r="F40" s="13">
        <f t="shared" si="1"/>
        <v>0.89290789802509163</v>
      </c>
    </row>
    <row r="41" spans="1:6" x14ac:dyDescent="0.25">
      <c r="A41" s="14">
        <v>45748</v>
      </c>
      <c r="B41" s="13" t="s">
        <v>122</v>
      </c>
      <c r="C41" s="15">
        <v>75520.100000000006</v>
      </c>
      <c r="D41" s="15">
        <v>69400</v>
      </c>
      <c r="E41" s="15">
        <f t="shared" si="0"/>
        <v>6120.1000000000058</v>
      </c>
      <c r="F41" s="13">
        <f t="shared" si="1"/>
        <v>0.91896064756270179</v>
      </c>
    </row>
    <row r="42" spans="1:6" x14ac:dyDescent="0.25">
      <c r="A42" s="14">
        <v>45778</v>
      </c>
      <c r="B42" s="13" t="s">
        <v>122</v>
      </c>
      <c r="C42" s="15">
        <v>76452.45</v>
      </c>
      <c r="D42" s="15">
        <v>67400</v>
      </c>
      <c r="E42" s="15">
        <f t="shared" si="0"/>
        <v>9052.4499999999971</v>
      </c>
      <c r="F42" s="13">
        <f t="shared" si="1"/>
        <v>0.88159372263413405</v>
      </c>
    </row>
    <row r="43" spans="1:6" x14ac:dyDescent="0.25">
      <c r="A43" s="14">
        <v>45809</v>
      </c>
      <c r="B43" s="13" t="s">
        <v>122</v>
      </c>
      <c r="C43" s="15">
        <v>77384.800000000003</v>
      </c>
      <c r="D43" s="15">
        <v>70300</v>
      </c>
      <c r="E43" s="15">
        <f t="shared" si="0"/>
        <v>7084.8000000000029</v>
      </c>
      <c r="F43" s="13">
        <f t="shared" si="1"/>
        <v>0.90844713690543877</v>
      </c>
    </row>
    <row r="44" spans="1:6" x14ac:dyDescent="0.25">
      <c r="A44" s="14">
        <v>45839</v>
      </c>
      <c r="B44" s="13" t="s">
        <v>122</v>
      </c>
      <c r="C44" s="15">
        <v>78317.14</v>
      </c>
      <c r="D44" s="15">
        <v>72500</v>
      </c>
      <c r="E44" s="15">
        <f t="shared" si="0"/>
        <v>5817.1399999999994</v>
      </c>
      <c r="F44" s="13">
        <f t="shared" si="1"/>
        <v>0.92572328356219347</v>
      </c>
    </row>
    <row r="45" spans="1:6" x14ac:dyDescent="0.25">
      <c r="A45" s="14">
        <v>45870</v>
      </c>
      <c r="B45" s="13" t="s">
        <v>122</v>
      </c>
      <c r="C45" s="15">
        <v>76452.45</v>
      </c>
      <c r="D45" s="15">
        <v>70500</v>
      </c>
      <c r="E45" s="15">
        <f t="shared" si="0"/>
        <v>5952.4499999999971</v>
      </c>
      <c r="F45" s="13">
        <f t="shared" si="1"/>
        <v>0.92214180186508088</v>
      </c>
    </row>
    <row r="46" spans="1:6" x14ac:dyDescent="0.25">
      <c r="A46" s="14">
        <v>45901</v>
      </c>
      <c r="B46" s="13" t="s">
        <v>122</v>
      </c>
      <c r="C46" s="15">
        <v>77384.800000000003</v>
      </c>
      <c r="D46" s="15">
        <v>74800</v>
      </c>
      <c r="E46" s="15">
        <f t="shared" si="0"/>
        <v>2584.8000000000029</v>
      </c>
      <c r="F46" s="13">
        <f t="shared" si="1"/>
        <v>0.96659809161489074</v>
      </c>
    </row>
    <row r="47" spans="1:6" x14ac:dyDescent="0.25">
      <c r="A47" s="14">
        <v>45931</v>
      </c>
      <c r="B47" s="13" t="s">
        <v>122</v>
      </c>
      <c r="C47" s="15">
        <v>78317.14</v>
      </c>
      <c r="D47" s="15">
        <v>73500</v>
      </c>
      <c r="E47" s="15">
        <f t="shared" si="0"/>
        <v>4817.1399999999994</v>
      </c>
      <c r="F47" s="13">
        <f t="shared" si="1"/>
        <v>0.93849188057684441</v>
      </c>
    </row>
    <row r="48" spans="1:6" x14ac:dyDescent="0.25">
      <c r="A48" s="14">
        <v>45962</v>
      </c>
      <c r="B48" s="13" t="s">
        <v>122</v>
      </c>
      <c r="C48" s="15">
        <v>78317.14</v>
      </c>
      <c r="D48" s="15">
        <v>77900</v>
      </c>
      <c r="E48" s="15">
        <f t="shared" si="0"/>
        <v>417.13999999999942</v>
      </c>
      <c r="F48" s="13">
        <f t="shared" si="1"/>
        <v>0.99467370744130856</v>
      </c>
    </row>
    <row r="49" spans="1:6" x14ac:dyDescent="0.25">
      <c r="A49" s="14">
        <v>45992</v>
      </c>
      <c r="B49" s="13" t="s">
        <v>122</v>
      </c>
      <c r="C49" s="15">
        <v>78317.14</v>
      </c>
      <c r="D49" s="15">
        <v>80900</v>
      </c>
      <c r="E49" s="15">
        <f t="shared" si="0"/>
        <v>-2582.8600000000006</v>
      </c>
      <c r="F49" s="13">
        <f t="shared" si="1"/>
        <v>1.0329794984852614</v>
      </c>
    </row>
    <row r="50" spans="1:6" x14ac:dyDescent="0.25">
      <c r="A50" s="14">
        <v>45658</v>
      </c>
      <c r="B50" s="13" t="s">
        <v>124</v>
      </c>
      <c r="C50" s="15">
        <v>129474.49</v>
      </c>
      <c r="D50" s="15">
        <v>112700</v>
      </c>
      <c r="E50" s="15">
        <f t="shared" si="0"/>
        <v>16774.490000000005</v>
      </c>
      <c r="F50" s="13">
        <f t="shared" si="1"/>
        <v>0.87044173721016393</v>
      </c>
    </row>
    <row r="51" spans="1:6" x14ac:dyDescent="0.25">
      <c r="A51" s="14">
        <v>45689</v>
      </c>
      <c r="B51" s="13" t="s">
        <v>124</v>
      </c>
      <c r="C51" s="15">
        <v>134653.47</v>
      </c>
      <c r="D51" s="15">
        <v>117500</v>
      </c>
      <c r="E51" s="15">
        <f t="shared" si="0"/>
        <v>17153.47</v>
      </c>
      <c r="F51" s="13">
        <f t="shared" si="1"/>
        <v>0.87261026396126296</v>
      </c>
    </row>
    <row r="52" spans="1:6" x14ac:dyDescent="0.25">
      <c r="A52" s="14">
        <v>45717</v>
      </c>
      <c r="B52" s="13" t="s">
        <v>124</v>
      </c>
      <c r="C52" s="15">
        <v>138106.12</v>
      </c>
      <c r="D52" s="15">
        <v>117800</v>
      </c>
      <c r="E52" s="15">
        <f t="shared" si="0"/>
        <v>20306.119999999995</v>
      </c>
      <c r="F52" s="13">
        <f t="shared" si="1"/>
        <v>0.85296726893782837</v>
      </c>
    </row>
    <row r="53" spans="1:6" x14ac:dyDescent="0.25">
      <c r="A53" s="14">
        <v>45748</v>
      </c>
      <c r="B53" s="13" t="s">
        <v>124</v>
      </c>
      <c r="C53" s="15">
        <v>139832.45000000001</v>
      </c>
      <c r="D53" s="15">
        <v>122700</v>
      </c>
      <c r="E53" s="15">
        <f t="shared" si="0"/>
        <v>17132.450000000012</v>
      </c>
      <c r="F53" s="13">
        <f t="shared" si="1"/>
        <v>0.87747872543175776</v>
      </c>
    </row>
    <row r="54" spans="1:6" x14ac:dyDescent="0.25">
      <c r="A54" s="14">
        <v>45778</v>
      </c>
      <c r="B54" s="13" t="s">
        <v>124</v>
      </c>
      <c r="C54" s="15">
        <v>141558.78</v>
      </c>
      <c r="D54" s="15">
        <v>119300</v>
      </c>
      <c r="E54" s="15">
        <f t="shared" si="0"/>
        <v>22258.78</v>
      </c>
      <c r="F54" s="13">
        <f t="shared" si="1"/>
        <v>0.84275945299895916</v>
      </c>
    </row>
    <row r="55" spans="1:6" x14ac:dyDescent="0.25">
      <c r="A55" s="14">
        <v>45809</v>
      </c>
      <c r="B55" s="13" t="s">
        <v>124</v>
      </c>
      <c r="C55" s="15">
        <v>143285.1</v>
      </c>
      <c r="D55" s="15">
        <v>124300</v>
      </c>
      <c r="E55" s="15">
        <f t="shared" si="0"/>
        <v>18985.100000000006</v>
      </c>
      <c r="F55" s="13">
        <f t="shared" si="1"/>
        <v>0.86750122657554762</v>
      </c>
    </row>
    <row r="56" spans="1:6" x14ac:dyDescent="0.25">
      <c r="A56" s="14">
        <v>45839</v>
      </c>
      <c r="B56" s="13" t="s">
        <v>124</v>
      </c>
      <c r="C56" s="15">
        <v>145011.43</v>
      </c>
      <c r="D56" s="15">
        <v>128200</v>
      </c>
      <c r="E56" s="15">
        <f t="shared" si="0"/>
        <v>16811.429999999993</v>
      </c>
      <c r="F56" s="13">
        <f t="shared" si="1"/>
        <v>0.88406824206891832</v>
      </c>
    </row>
    <row r="57" spans="1:6" x14ac:dyDescent="0.25">
      <c r="A57" s="14">
        <v>45870</v>
      </c>
      <c r="B57" s="13" t="s">
        <v>124</v>
      </c>
      <c r="C57" s="15">
        <v>141558.78</v>
      </c>
      <c r="D57" s="15">
        <v>124700</v>
      </c>
      <c r="E57" s="15">
        <f t="shared" si="0"/>
        <v>16858.78</v>
      </c>
      <c r="F57" s="13">
        <f t="shared" si="1"/>
        <v>0.88090615078767986</v>
      </c>
    </row>
    <row r="58" spans="1:6" x14ac:dyDescent="0.25">
      <c r="A58" s="14">
        <v>45901</v>
      </c>
      <c r="B58" s="13" t="s">
        <v>124</v>
      </c>
      <c r="C58" s="15">
        <v>143285.1</v>
      </c>
      <c r="D58" s="15">
        <v>132300</v>
      </c>
      <c r="E58" s="15">
        <f t="shared" si="0"/>
        <v>10985.100000000006</v>
      </c>
      <c r="F58" s="13">
        <f>D58/C58</f>
        <v>0.92333396843077187</v>
      </c>
    </row>
    <row r="59" spans="1:6" x14ac:dyDescent="0.25">
      <c r="A59" s="14">
        <v>45931</v>
      </c>
      <c r="B59" s="13" t="s">
        <v>124</v>
      </c>
      <c r="C59" s="15">
        <v>145011.43</v>
      </c>
      <c r="D59" s="15">
        <v>130000</v>
      </c>
      <c r="E59" s="15">
        <f t="shared" si="0"/>
        <v>15011.429999999993</v>
      </c>
      <c r="F59" s="13">
        <f t="shared" si="1"/>
        <v>0.89648105670015121</v>
      </c>
    </row>
    <row r="60" spans="1:6" x14ac:dyDescent="0.25">
      <c r="A60" s="14">
        <v>45962</v>
      </c>
      <c r="B60" s="13" t="s">
        <v>124</v>
      </c>
      <c r="C60" s="15">
        <v>145011.43</v>
      </c>
      <c r="D60" s="15">
        <v>137800</v>
      </c>
      <c r="E60" s="15">
        <f t="shared" si="0"/>
        <v>7211.429999999993</v>
      </c>
      <c r="F60" s="13">
        <f t="shared" si="1"/>
        <v>0.95026992010216027</v>
      </c>
    </row>
    <row r="61" spans="1:6" x14ac:dyDescent="0.25">
      <c r="A61" s="14">
        <v>45992</v>
      </c>
      <c r="B61" s="13" t="s">
        <v>124</v>
      </c>
      <c r="C61" s="15">
        <v>145011.43</v>
      </c>
      <c r="D61" s="15">
        <v>143200</v>
      </c>
      <c r="E61" s="15">
        <f t="shared" si="0"/>
        <v>1811.429999999993</v>
      </c>
      <c r="F61" s="13">
        <f t="shared" si="1"/>
        <v>0.98750836399585884</v>
      </c>
    </row>
    <row r="62" spans="1:6" x14ac:dyDescent="0.25">
      <c r="A62" s="14">
        <v>45658</v>
      </c>
      <c r="B62" s="13" t="s">
        <v>126</v>
      </c>
      <c r="C62" s="15">
        <v>101234.69</v>
      </c>
      <c r="D62" s="15">
        <v>93100</v>
      </c>
      <c r="E62" s="15">
        <f t="shared" si="0"/>
        <v>8134.6900000000023</v>
      </c>
      <c r="F62" s="13">
        <f t="shared" si="1"/>
        <v>0.91964523228154305</v>
      </c>
    </row>
    <row r="63" spans="1:6" x14ac:dyDescent="0.25">
      <c r="A63" s="14">
        <v>45689</v>
      </c>
      <c r="B63" s="13" t="s">
        <v>126</v>
      </c>
      <c r="C63" s="15">
        <v>105284.08</v>
      </c>
      <c r="D63" s="15">
        <v>97100</v>
      </c>
      <c r="E63" s="15">
        <f t="shared" si="0"/>
        <v>8184.0800000000017</v>
      </c>
      <c r="F63" s="13">
        <f t="shared" si="1"/>
        <v>0.92226669027264141</v>
      </c>
    </row>
    <row r="64" spans="1:6" x14ac:dyDescent="0.25">
      <c r="A64" s="14">
        <v>45717</v>
      </c>
      <c r="B64" s="13" t="s">
        <v>126</v>
      </c>
      <c r="C64" s="15">
        <v>107983.67</v>
      </c>
      <c r="D64" s="15">
        <v>97300</v>
      </c>
      <c r="E64" s="15">
        <f t="shared" si="0"/>
        <v>10683.669999999998</v>
      </c>
      <c r="F64" s="13">
        <f t="shared" si="1"/>
        <v>0.90106216986327659</v>
      </c>
    </row>
    <row r="65" spans="1:6" x14ac:dyDescent="0.25">
      <c r="A65" s="14">
        <v>45748</v>
      </c>
      <c r="B65" s="13" t="s">
        <v>126</v>
      </c>
      <c r="C65" s="15">
        <v>109333.47</v>
      </c>
      <c r="D65" s="15">
        <v>101400</v>
      </c>
      <c r="E65" s="15">
        <f t="shared" si="0"/>
        <v>7933.4700000000012</v>
      </c>
      <c r="F65" s="13">
        <f t="shared" si="1"/>
        <v>0.92743786509291248</v>
      </c>
    </row>
    <row r="66" spans="1:6" x14ac:dyDescent="0.25">
      <c r="A66" s="14">
        <v>45778</v>
      </c>
      <c r="B66" s="13" t="s">
        <v>126</v>
      </c>
      <c r="C66" s="15">
        <v>110683.27</v>
      </c>
      <c r="D66" s="15">
        <v>98600</v>
      </c>
      <c r="E66" s="15">
        <f t="shared" si="0"/>
        <v>12083.270000000004</v>
      </c>
      <c r="F66" s="13">
        <f t="shared" si="1"/>
        <v>0.89083020405884283</v>
      </c>
    </row>
    <row r="67" spans="1:6" x14ac:dyDescent="0.25">
      <c r="A67" s="14">
        <v>45809</v>
      </c>
      <c r="B67" s="13" t="s">
        <v>126</v>
      </c>
      <c r="C67" s="15">
        <v>112033.06</v>
      </c>
      <c r="D67" s="15">
        <v>102700</v>
      </c>
      <c r="E67" s="15">
        <f t="shared" ref="E67:E73" si="2">C67-D67</f>
        <v>9333.0599999999977</v>
      </c>
      <c r="F67" s="13">
        <f t="shared" ref="F67:F73" si="3">D67/C67</f>
        <v>0.91669369737825601</v>
      </c>
    </row>
    <row r="68" spans="1:6" x14ac:dyDescent="0.25">
      <c r="A68" s="14">
        <v>45839</v>
      </c>
      <c r="B68" s="13" t="s">
        <v>126</v>
      </c>
      <c r="C68" s="15">
        <v>113382.86</v>
      </c>
      <c r="D68" s="15">
        <v>105900</v>
      </c>
      <c r="E68" s="15">
        <f t="shared" si="2"/>
        <v>7482.8600000000006</v>
      </c>
      <c r="F68" s="13">
        <f t="shared" si="3"/>
        <v>0.93400360513044034</v>
      </c>
    </row>
    <row r="69" spans="1:6" x14ac:dyDescent="0.25">
      <c r="A69" s="14">
        <v>45870</v>
      </c>
      <c r="B69" s="13" t="s">
        <v>126</v>
      </c>
      <c r="C69" s="15">
        <v>110683.27</v>
      </c>
      <c r="D69" s="15">
        <v>103000</v>
      </c>
      <c r="E69" s="15">
        <f t="shared" si="2"/>
        <v>7683.2700000000041</v>
      </c>
      <c r="F69" s="13">
        <f t="shared" si="3"/>
        <v>0.93058327604524149</v>
      </c>
    </row>
    <row r="70" spans="1:6" x14ac:dyDescent="0.25">
      <c r="A70" s="14">
        <v>45901</v>
      </c>
      <c r="B70" s="13" t="s">
        <v>126</v>
      </c>
      <c r="C70" s="15">
        <v>112033.06</v>
      </c>
      <c r="D70" s="15">
        <v>109300</v>
      </c>
      <c r="E70" s="15">
        <f t="shared" si="2"/>
        <v>2733.0599999999977</v>
      </c>
      <c r="F70" s="13">
        <f t="shared" si="3"/>
        <v>0.97560487948825103</v>
      </c>
    </row>
    <row r="71" spans="1:6" x14ac:dyDescent="0.25">
      <c r="A71" s="14">
        <v>45931</v>
      </c>
      <c r="B71" s="13" t="s">
        <v>126</v>
      </c>
      <c r="C71" s="15">
        <v>113382.86</v>
      </c>
      <c r="D71" s="15">
        <v>107400</v>
      </c>
      <c r="E71" s="15">
        <f t="shared" si="2"/>
        <v>5982.8600000000006</v>
      </c>
      <c r="F71" s="13">
        <f t="shared" si="3"/>
        <v>0.94723311795098486</v>
      </c>
    </row>
    <row r="72" spans="1:6" x14ac:dyDescent="0.25">
      <c r="A72" s="14">
        <v>45962</v>
      </c>
      <c r="B72" s="13" t="s">
        <v>126</v>
      </c>
      <c r="C72" s="15">
        <v>113382.86</v>
      </c>
      <c r="D72" s="15">
        <v>113800</v>
      </c>
      <c r="E72" s="15">
        <f t="shared" si="2"/>
        <v>-417.13999999999942</v>
      </c>
      <c r="F72" s="13">
        <f t="shared" si="3"/>
        <v>1.0036790393186412</v>
      </c>
    </row>
    <row r="73" spans="1:6" x14ac:dyDescent="0.25">
      <c r="A73" s="14">
        <v>45992</v>
      </c>
      <c r="B73" s="13" t="s">
        <v>126</v>
      </c>
      <c r="C73" s="15">
        <v>113382.86</v>
      </c>
      <c r="D73" s="15">
        <v>118300</v>
      </c>
      <c r="E73" s="20">
        <f t="shared" si="2"/>
        <v>-4917.1399999999994</v>
      </c>
      <c r="F73" s="13">
        <f t="shared" si="3"/>
        <v>1.0433675777802747</v>
      </c>
    </row>
    <row r="74" spans="1:6" x14ac:dyDescent="0.25">
      <c r="E74" s="2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L13"/>
  <sheetViews>
    <sheetView showGridLines="0" workbookViewId="0">
      <pane ySplit="1" topLeftCell="A2" activePane="bottomLeft" state="frozen"/>
      <selection pane="bottomLeft" activeCell="L11" sqref="L11:L13"/>
    </sheetView>
  </sheetViews>
  <sheetFormatPr defaultRowHeight="15" x14ac:dyDescent="0.25"/>
  <cols>
    <col min="1" max="1" width="21" customWidth="1"/>
    <col min="2" max="2" width="19" customWidth="1"/>
    <col min="3" max="3" width="22" customWidth="1"/>
    <col min="4" max="4" width="25" customWidth="1"/>
    <col min="5" max="5" width="13" customWidth="1"/>
    <col min="6" max="6" width="12" customWidth="1"/>
    <col min="7" max="7" width="15" customWidth="1"/>
    <col min="8" max="8" width="20" customWidth="1"/>
    <col min="9" max="9" width="17" customWidth="1"/>
    <col min="10" max="11" width="16" customWidth="1"/>
    <col min="12" max="12" width="19" customWidth="1"/>
  </cols>
  <sheetData>
    <row r="1" spans="1:12" x14ac:dyDescent="0.25">
      <c r="A1" s="11" t="s">
        <v>1</v>
      </c>
      <c r="B1" s="11" t="s">
        <v>225</v>
      </c>
      <c r="C1" s="11" t="s">
        <v>226</v>
      </c>
      <c r="D1" s="11" t="s">
        <v>227</v>
      </c>
      <c r="E1" s="11" t="s">
        <v>228</v>
      </c>
      <c r="F1" s="11" t="s">
        <v>229</v>
      </c>
      <c r="G1" s="11" t="s">
        <v>230</v>
      </c>
      <c r="H1" s="11" t="s">
        <v>231</v>
      </c>
      <c r="I1" s="11" t="s">
        <v>232</v>
      </c>
      <c r="J1" s="11" t="s">
        <v>233</v>
      </c>
      <c r="K1" s="11" t="s">
        <v>234</v>
      </c>
      <c r="L1" s="11" t="s">
        <v>235</v>
      </c>
    </row>
    <row r="2" spans="1:12" x14ac:dyDescent="0.25">
      <c r="A2" s="14">
        <v>45658</v>
      </c>
      <c r="B2" s="15">
        <v>5000000</v>
      </c>
      <c r="C2" s="13">
        <v>2049912.96</v>
      </c>
      <c r="D2" s="13">
        <v>61794</v>
      </c>
      <c r="E2" s="13">
        <v>0</v>
      </c>
      <c r="F2" s="13">
        <v>0</v>
      </c>
      <c r="G2" s="13">
        <v>2111706.96</v>
      </c>
      <c r="H2" s="15">
        <v>1366200</v>
      </c>
      <c r="I2" s="13">
        <v>0</v>
      </c>
      <c r="J2" s="13">
        <v>100000</v>
      </c>
      <c r="K2" s="13">
        <v>1466200</v>
      </c>
      <c r="L2" s="15">
        <f>B2+G2-K2</f>
        <v>5645506.96</v>
      </c>
    </row>
    <row r="3" spans="1:12" x14ac:dyDescent="0.25">
      <c r="A3" s="14">
        <v>45689</v>
      </c>
      <c r="B3" s="15">
        <v>5645506.96</v>
      </c>
      <c r="C3" s="13">
        <v>2152260</v>
      </c>
      <c r="D3" s="13">
        <v>64809</v>
      </c>
      <c r="E3" s="13">
        <v>0</v>
      </c>
      <c r="F3" s="13">
        <v>0</v>
      </c>
      <c r="G3" s="13">
        <v>2217069</v>
      </c>
      <c r="H3" s="15">
        <v>1424700</v>
      </c>
      <c r="I3" s="13">
        <v>0</v>
      </c>
      <c r="J3" s="13">
        <v>100000</v>
      </c>
      <c r="K3" s="13">
        <v>1524700</v>
      </c>
      <c r="L3" s="15">
        <f t="shared" ref="L3:L13" si="0">B3+G3-K3</f>
        <v>6337875.96</v>
      </c>
    </row>
    <row r="4" spans="1:12" x14ac:dyDescent="0.25">
      <c r="A4" s="14">
        <v>45717</v>
      </c>
      <c r="B4" s="15">
        <v>6337875.96</v>
      </c>
      <c r="C4" s="13">
        <v>2254784</v>
      </c>
      <c r="D4" s="13">
        <v>67890</v>
      </c>
      <c r="E4" s="13">
        <v>150000</v>
      </c>
      <c r="F4" s="13">
        <v>0</v>
      </c>
      <c r="G4" s="13">
        <v>2472674</v>
      </c>
      <c r="H4" s="15">
        <v>1427600</v>
      </c>
      <c r="I4" s="13">
        <v>0</v>
      </c>
      <c r="J4" s="13">
        <v>100000</v>
      </c>
      <c r="K4" s="13">
        <v>1527600</v>
      </c>
      <c r="L4" s="15">
        <f t="shared" si="0"/>
        <v>7282949.9600000009</v>
      </c>
    </row>
    <row r="5" spans="1:12" x14ac:dyDescent="0.25">
      <c r="A5" s="14">
        <v>45748</v>
      </c>
      <c r="B5" s="15">
        <v>7282949.9600000009</v>
      </c>
      <c r="C5" s="13">
        <v>2338256</v>
      </c>
      <c r="D5" s="13">
        <v>70344</v>
      </c>
      <c r="E5" s="13">
        <v>0</v>
      </c>
      <c r="F5" s="13">
        <v>0</v>
      </c>
      <c r="G5" s="13">
        <v>2408600</v>
      </c>
      <c r="H5" s="15">
        <v>1487600</v>
      </c>
      <c r="I5" s="13">
        <v>0</v>
      </c>
      <c r="J5" s="13">
        <v>100000</v>
      </c>
      <c r="K5" s="13">
        <v>1587600</v>
      </c>
      <c r="L5" s="15">
        <f t="shared" si="0"/>
        <v>8103949.9600000009</v>
      </c>
    </row>
    <row r="6" spans="1:12" x14ac:dyDescent="0.25">
      <c r="A6" s="14">
        <v>45778</v>
      </c>
      <c r="B6" s="15">
        <v>8103949.9600000009</v>
      </c>
      <c r="C6" s="13">
        <v>2421436</v>
      </c>
      <c r="D6" s="13">
        <v>72843</v>
      </c>
      <c r="E6" s="13">
        <v>0</v>
      </c>
      <c r="F6" s="13">
        <v>0</v>
      </c>
      <c r="G6" s="13">
        <v>2494279</v>
      </c>
      <c r="H6" s="15">
        <v>1446400</v>
      </c>
      <c r="I6" s="13">
        <v>250000</v>
      </c>
      <c r="J6" s="13">
        <v>100000</v>
      </c>
      <c r="K6" s="13">
        <v>1796400</v>
      </c>
      <c r="L6" s="15">
        <f t="shared" si="0"/>
        <v>8801828.9600000009</v>
      </c>
    </row>
    <row r="7" spans="1:12" x14ac:dyDescent="0.25">
      <c r="A7" s="14">
        <v>45809</v>
      </c>
      <c r="B7" s="15">
        <v>8801828.9600000009</v>
      </c>
      <c r="C7" s="13">
        <v>2527828</v>
      </c>
      <c r="D7" s="13">
        <v>76095</v>
      </c>
      <c r="E7" s="13">
        <v>0</v>
      </c>
      <c r="F7" s="13">
        <v>0</v>
      </c>
      <c r="G7" s="13">
        <v>2603923</v>
      </c>
      <c r="H7" s="15">
        <v>1507200</v>
      </c>
      <c r="I7" s="13">
        <v>0</v>
      </c>
      <c r="J7" s="13">
        <v>100000</v>
      </c>
      <c r="K7" s="13">
        <v>1607200</v>
      </c>
      <c r="L7" s="15">
        <f t="shared" si="0"/>
        <v>9798551.9600000009</v>
      </c>
    </row>
    <row r="8" spans="1:12" x14ac:dyDescent="0.25">
      <c r="A8" s="14">
        <v>45839</v>
      </c>
      <c r="B8" s="15">
        <v>9798551.9600000009</v>
      </c>
      <c r="C8" s="13">
        <v>2527484</v>
      </c>
      <c r="D8" s="13">
        <v>75801</v>
      </c>
      <c r="E8" s="13">
        <v>0</v>
      </c>
      <c r="F8" s="13">
        <v>0</v>
      </c>
      <c r="G8" s="13">
        <v>2603285</v>
      </c>
      <c r="H8" s="15">
        <v>1554200</v>
      </c>
      <c r="I8" s="13">
        <v>0</v>
      </c>
      <c r="J8" s="13">
        <v>100000</v>
      </c>
      <c r="K8" s="13">
        <v>1654200</v>
      </c>
      <c r="L8" s="15">
        <f t="shared" si="0"/>
        <v>10747636.960000001</v>
      </c>
    </row>
    <row r="9" spans="1:12" x14ac:dyDescent="0.25">
      <c r="A9" s="14">
        <v>45870</v>
      </c>
      <c r="B9" s="15">
        <v>10747636.960000001</v>
      </c>
      <c r="C9" s="13">
        <v>2628820</v>
      </c>
      <c r="D9" s="13">
        <v>79131</v>
      </c>
      <c r="E9" s="13">
        <v>150000</v>
      </c>
      <c r="F9" s="13">
        <v>0</v>
      </c>
      <c r="G9" s="13">
        <v>2857951</v>
      </c>
      <c r="H9" s="15">
        <v>1511300</v>
      </c>
      <c r="I9" s="13">
        <v>0</v>
      </c>
      <c r="J9" s="13">
        <v>100000</v>
      </c>
      <c r="K9" s="13">
        <v>1611300</v>
      </c>
      <c r="L9" s="15">
        <f t="shared" si="0"/>
        <v>11994287.960000001</v>
      </c>
    </row>
    <row r="10" spans="1:12" x14ac:dyDescent="0.25">
      <c r="A10" s="14">
        <v>45901</v>
      </c>
      <c r="B10" s="15">
        <v>11994287.960000001</v>
      </c>
      <c r="C10" s="13">
        <v>2718844</v>
      </c>
      <c r="D10" s="13">
        <v>81777</v>
      </c>
      <c r="E10" s="13">
        <v>0</v>
      </c>
      <c r="F10" s="13">
        <v>0</v>
      </c>
      <c r="G10" s="13">
        <v>2800621</v>
      </c>
      <c r="H10" s="15">
        <v>1604100</v>
      </c>
      <c r="I10" s="13">
        <v>0</v>
      </c>
      <c r="J10" s="13">
        <v>100000</v>
      </c>
      <c r="K10" s="13">
        <v>1704100</v>
      </c>
      <c r="L10" s="15">
        <f t="shared" si="0"/>
        <v>13090808.960000001</v>
      </c>
    </row>
    <row r="11" spans="1:12" x14ac:dyDescent="0.25">
      <c r="A11" s="14">
        <v>45931</v>
      </c>
      <c r="B11" s="15">
        <v>13090808.960000001</v>
      </c>
      <c r="C11" s="13">
        <v>2808516</v>
      </c>
      <c r="D11" s="13">
        <v>84471</v>
      </c>
      <c r="E11" s="13">
        <v>0</v>
      </c>
      <c r="F11" s="13">
        <v>0</v>
      </c>
      <c r="G11" s="13">
        <v>2892987</v>
      </c>
      <c r="H11" s="15">
        <v>1575600</v>
      </c>
      <c r="I11" s="13">
        <v>250000</v>
      </c>
      <c r="J11" s="13">
        <v>100000</v>
      </c>
      <c r="K11" s="13">
        <v>1925600</v>
      </c>
      <c r="L11" s="15">
        <f t="shared" si="0"/>
        <v>14058195.960000001</v>
      </c>
    </row>
    <row r="12" spans="1:12" x14ac:dyDescent="0.25">
      <c r="A12" s="14">
        <v>45962</v>
      </c>
      <c r="B12" s="15">
        <v>14058195.960000001</v>
      </c>
      <c r="C12" s="13">
        <v>2946432</v>
      </c>
      <c r="D12" s="13">
        <v>88734</v>
      </c>
      <c r="E12" s="13">
        <v>0</v>
      </c>
      <c r="F12" s="13">
        <v>0</v>
      </c>
      <c r="G12" s="13">
        <v>3035166</v>
      </c>
      <c r="H12" s="15">
        <v>1670400</v>
      </c>
      <c r="I12" s="13">
        <v>0</v>
      </c>
      <c r="J12" s="13">
        <v>100000</v>
      </c>
      <c r="K12" s="13">
        <v>1770400</v>
      </c>
      <c r="L12" s="15">
        <f t="shared" si="0"/>
        <v>15322961.960000001</v>
      </c>
    </row>
    <row r="13" spans="1:12" x14ac:dyDescent="0.25">
      <c r="A13" s="14">
        <v>45992</v>
      </c>
      <c r="B13" s="15">
        <v>15322961.960000001</v>
      </c>
      <c r="C13" s="13">
        <v>3138764</v>
      </c>
      <c r="D13" s="13">
        <v>94635</v>
      </c>
      <c r="E13" s="13">
        <v>0</v>
      </c>
      <c r="F13" s="13">
        <v>0</v>
      </c>
      <c r="G13" s="13">
        <v>3233399</v>
      </c>
      <c r="H13" s="15">
        <v>1735800</v>
      </c>
      <c r="I13" s="13">
        <v>0</v>
      </c>
      <c r="J13" s="13">
        <v>100000</v>
      </c>
      <c r="K13" s="13">
        <v>1835800</v>
      </c>
      <c r="L13" s="15">
        <f t="shared" si="0"/>
        <v>16720560.960000001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2F0D9"/>
  </sheetPr>
  <dimension ref="A1:S71"/>
  <sheetViews>
    <sheetView showGridLines="0" topLeftCell="H1" workbookViewId="0">
      <pane ySplit="1" topLeftCell="A28" activePane="bottomLeft" state="frozen"/>
      <selection pane="bottomLeft" activeCell="L29" sqref="L29:L32"/>
    </sheetView>
  </sheetViews>
  <sheetFormatPr defaultRowHeight="15" x14ac:dyDescent="0.25"/>
  <cols>
    <col min="1" max="1" width="16" customWidth="1"/>
    <col min="2" max="2" width="19" customWidth="1"/>
    <col min="3" max="4" width="21" customWidth="1"/>
    <col min="5" max="5" width="16" customWidth="1"/>
    <col min="6" max="6" width="13" customWidth="1"/>
    <col min="7" max="7" width="20" customWidth="1"/>
    <col min="8" max="8" width="16" customWidth="1"/>
    <col min="9" max="10" width="14" customWidth="1"/>
    <col min="11" max="11" width="14.42578125" customWidth="1"/>
    <col min="12" max="12" width="19.7109375" customWidth="1"/>
    <col min="13" max="13" width="18.28515625" customWidth="1"/>
    <col min="14" max="14" width="16" customWidth="1"/>
    <col min="15" max="15" width="21.140625" customWidth="1"/>
    <col min="16" max="16" width="17.5703125" customWidth="1"/>
    <col min="17" max="17" width="18.140625" customWidth="1"/>
    <col min="18" max="18" width="13.85546875" customWidth="1"/>
  </cols>
  <sheetData>
    <row r="1" spans="1:19" x14ac:dyDescent="0.25">
      <c r="A1" s="28" t="s">
        <v>236</v>
      </c>
      <c r="B1" s="28" t="s">
        <v>45</v>
      </c>
      <c r="C1" s="28" t="s">
        <v>237</v>
      </c>
      <c r="D1" s="28" t="s">
        <v>238</v>
      </c>
      <c r="E1" s="28" t="s">
        <v>239</v>
      </c>
      <c r="F1" s="28" t="s">
        <v>240</v>
      </c>
      <c r="G1" s="28" t="s">
        <v>241</v>
      </c>
      <c r="H1" s="28" t="s">
        <v>242</v>
      </c>
      <c r="I1" s="28" t="s">
        <v>243</v>
      </c>
      <c r="J1" s="28" t="s">
        <v>244</v>
      </c>
      <c r="K1" s="29" t="s">
        <v>245</v>
      </c>
      <c r="L1" s="29" t="s">
        <v>246</v>
      </c>
      <c r="M1" s="29" t="s">
        <v>247</v>
      </c>
      <c r="N1" s="29" t="s">
        <v>248</v>
      </c>
      <c r="O1" s="29" t="s">
        <v>249</v>
      </c>
      <c r="P1" s="29" t="s">
        <v>250</v>
      </c>
      <c r="Q1" s="29" t="s">
        <v>251</v>
      </c>
      <c r="R1" s="29" t="s">
        <v>252</v>
      </c>
      <c r="S1" s="29" t="s">
        <v>33</v>
      </c>
    </row>
    <row r="2" spans="1:19" x14ac:dyDescent="0.25">
      <c r="A2" s="30" t="s">
        <v>253</v>
      </c>
      <c r="B2" s="30" t="s">
        <v>52</v>
      </c>
      <c r="C2" s="31">
        <v>45658</v>
      </c>
      <c r="D2" s="31">
        <v>45688</v>
      </c>
      <c r="E2" s="32">
        <v>150000</v>
      </c>
      <c r="F2" s="32">
        <v>150000</v>
      </c>
      <c r="G2" s="32">
        <v>0</v>
      </c>
      <c r="H2" s="30" t="s">
        <v>254</v>
      </c>
      <c r="I2" s="30">
        <v>0</v>
      </c>
      <c r="J2" s="30" t="s">
        <v>255</v>
      </c>
      <c r="K2" s="25" t="str">
        <f>A2</f>
        <v>AR-5001</v>
      </c>
      <c r="L2" s="26">
        <f>C2</f>
        <v>45658</v>
      </c>
      <c r="M2" s="26">
        <f>D2</f>
        <v>45688</v>
      </c>
      <c r="N2" s="27">
        <f>E2</f>
        <v>150000</v>
      </c>
      <c r="O2" s="27">
        <f>N2</f>
        <v>150000</v>
      </c>
      <c r="P2" s="25">
        <f t="shared" ref="P2:P33" si="0">MAX(0,N2-O2)</f>
        <v>0</v>
      </c>
      <c r="Q2" s="25">
        <f t="shared" ref="Q2:Q33" ca="1" si="1">IF(P2=0,0,MAX(0,TODAY()-M2))</f>
        <v>0</v>
      </c>
      <c r="R2" s="25" t="str">
        <f t="shared" ref="R2:R33" si="2">IF(P2=0,"Paid",IF(Q2&lt;=30,"0-30",IF(Q2&lt;=60,"31-60",IF(Q2&lt;=90,"61-90","90+"))))</f>
        <v>Paid</v>
      </c>
      <c r="S2" s="25" t="str">
        <f t="shared" ref="S2:S33" si="3">IF(P2=0,"Paid",IF(Q2&gt;90,"Critical",IF(Q2&gt;60,"Overdue","Open")))</f>
        <v>Paid</v>
      </c>
    </row>
    <row r="3" spans="1:19" x14ac:dyDescent="0.25">
      <c r="A3" s="30" t="s">
        <v>256</v>
      </c>
      <c r="B3" s="30" t="s">
        <v>66</v>
      </c>
      <c r="C3" s="31">
        <v>45658</v>
      </c>
      <c r="D3" s="31">
        <v>45688</v>
      </c>
      <c r="E3" s="32">
        <v>185000</v>
      </c>
      <c r="F3" s="32">
        <v>157200</v>
      </c>
      <c r="G3" s="32">
        <v>27800</v>
      </c>
      <c r="H3" s="30" t="s">
        <v>257</v>
      </c>
      <c r="I3" s="30">
        <v>334</v>
      </c>
      <c r="J3" s="30" t="s">
        <v>258</v>
      </c>
      <c r="K3" s="25" t="str">
        <f t="shared" ref="K3:K61" si="4">A3</f>
        <v>AR-5002</v>
      </c>
      <c r="L3" s="26">
        <f t="shared" ref="L3:L61" si="5">C3</f>
        <v>45658</v>
      </c>
      <c r="M3" s="26">
        <f t="shared" ref="M3:M61" si="6">D3</f>
        <v>45688</v>
      </c>
      <c r="N3" s="27">
        <f t="shared" ref="N3:N61" si="7">E3</f>
        <v>185000</v>
      </c>
      <c r="O3" s="27">
        <f t="shared" ref="O3:O29" si="8">N3</f>
        <v>185000</v>
      </c>
      <c r="P3" s="25">
        <f t="shared" si="0"/>
        <v>0</v>
      </c>
      <c r="Q3" s="25">
        <f t="shared" ca="1" si="1"/>
        <v>0</v>
      </c>
      <c r="R3" s="25" t="str">
        <f t="shared" si="2"/>
        <v>Paid</v>
      </c>
      <c r="S3" s="25" t="str">
        <f t="shared" si="3"/>
        <v>Paid</v>
      </c>
    </row>
    <row r="4" spans="1:19" x14ac:dyDescent="0.25">
      <c r="A4" s="30" t="s">
        <v>259</v>
      </c>
      <c r="B4" s="30" t="s">
        <v>57</v>
      </c>
      <c r="C4" s="31">
        <v>45658</v>
      </c>
      <c r="D4" s="31">
        <v>45688</v>
      </c>
      <c r="E4" s="32">
        <v>220000</v>
      </c>
      <c r="F4" s="32">
        <v>132000</v>
      </c>
      <c r="G4" s="32">
        <v>88000</v>
      </c>
      <c r="H4" s="30" t="s">
        <v>257</v>
      </c>
      <c r="I4" s="30">
        <v>334</v>
      </c>
      <c r="J4" s="30" t="s">
        <v>258</v>
      </c>
      <c r="K4" s="25" t="str">
        <f t="shared" si="4"/>
        <v>AR-5003</v>
      </c>
      <c r="L4" s="26">
        <f t="shared" si="5"/>
        <v>45658</v>
      </c>
      <c r="M4" s="26">
        <f t="shared" si="6"/>
        <v>45688</v>
      </c>
      <c r="N4" s="27">
        <f t="shared" si="7"/>
        <v>220000</v>
      </c>
      <c r="O4" s="27">
        <f t="shared" si="8"/>
        <v>220000</v>
      </c>
      <c r="P4" s="25">
        <f t="shared" si="0"/>
        <v>0</v>
      </c>
      <c r="Q4" s="25">
        <f t="shared" ca="1" si="1"/>
        <v>0</v>
      </c>
      <c r="R4" s="25" t="str">
        <f t="shared" si="2"/>
        <v>Paid</v>
      </c>
      <c r="S4" s="25" t="str">
        <f t="shared" si="3"/>
        <v>Paid</v>
      </c>
    </row>
    <row r="5" spans="1:19" x14ac:dyDescent="0.25">
      <c r="A5" s="30" t="s">
        <v>260</v>
      </c>
      <c r="B5" s="30" t="s">
        <v>68</v>
      </c>
      <c r="C5" s="31">
        <v>45658</v>
      </c>
      <c r="D5" s="31">
        <v>45688</v>
      </c>
      <c r="E5" s="32">
        <v>255000</v>
      </c>
      <c r="F5" s="32">
        <v>76500</v>
      </c>
      <c r="G5" s="32">
        <v>178500</v>
      </c>
      <c r="H5" s="30" t="s">
        <v>257</v>
      </c>
      <c r="I5" s="30">
        <v>334</v>
      </c>
      <c r="J5" s="30" t="s">
        <v>258</v>
      </c>
      <c r="K5" s="25" t="str">
        <f t="shared" si="4"/>
        <v>AR-5004</v>
      </c>
      <c r="L5" s="26">
        <f t="shared" si="5"/>
        <v>45658</v>
      </c>
      <c r="M5" s="26">
        <f t="shared" si="6"/>
        <v>45688</v>
      </c>
      <c r="N5" s="27">
        <f t="shared" si="7"/>
        <v>255000</v>
      </c>
      <c r="O5" s="27">
        <f t="shared" si="8"/>
        <v>255000</v>
      </c>
      <c r="P5" s="25">
        <f t="shared" si="0"/>
        <v>0</v>
      </c>
      <c r="Q5" s="25">
        <f t="shared" ca="1" si="1"/>
        <v>0</v>
      </c>
      <c r="R5" s="25" t="str">
        <f t="shared" si="2"/>
        <v>Paid</v>
      </c>
      <c r="S5" s="25" t="str">
        <f t="shared" si="3"/>
        <v>Paid</v>
      </c>
    </row>
    <row r="6" spans="1:19" x14ac:dyDescent="0.25">
      <c r="A6" s="30" t="s">
        <v>261</v>
      </c>
      <c r="B6" s="30" t="s">
        <v>61</v>
      </c>
      <c r="C6" s="31">
        <v>45658</v>
      </c>
      <c r="D6" s="31">
        <v>45688</v>
      </c>
      <c r="E6" s="32">
        <v>290000</v>
      </c>
      <c r="F6" s="32">
        <v>0</v>
      </c>
      <c r="G6" s="32">
        <v>290000</v>
      </c>
      <c r="H6" s="30" t="s">
        <v>262</v>
      </c>
      <c r="I6" s="30">
        <v>334</v>
      </c>
      <c r="J6" s="30" t="s">
        <v>258</v>
      </c>
      <c r="K6" s="25" t="str">
        <f t="shared" si="4"/>
        <v>AR-5005</v>
      </c>
      <c r="L6" s="26">
        <f t="shared" si="5"/>
        <v>45658</v>
      </c>
      <c r="M6" s="26">
        <f t="shared" si="6"/>
        <v>45688</v>
      </c>
      <c r="N6" s="27">
        <f t="shared" si="7"/>
        <v>290000</v>
      </c>
      <c r="O6" s="27">
        <f t="shared" si="8"/>
        <v>290000</v>
      </c>
      <c r="P6" s="25">
        <f t="shared" si="0"/>
        <v>0</v>
      </c>
      <c r="Q6" s="25">
        <f t="shared" ca="1" si="1"/>
        <v>0</v>
      </c>
      <c r="R6" s="25" t="str">
        <f t="shared" si="2"/>
        <v>Paid</v>
      </c>
      <c r="S6" s="25" t="str">
        <f t="shared" si="3"/>
        <v>Paid</v>
      </c>
    </row>
    <row r="7" spans="1:19" x14ac:dyDescent="0.25">
      <c r="A7" s="30" t="s">
        <v>263</v>
      </c>
      <c r="B7" s="30" t="s">
        <v>66</v>
      </c>
      <c r="C7" s="31">
        <v>45689</v>
      </c>
      <c r="D7" s="31">
        <v>45719</v>
      </c>
      <c r="E7" s="32">
        <v>160000</v>
      </c>
      <c r="F7" s="32">
        <v>136000</v>
      </c>
      <c r="G7" s="32">
        <v>24000</v>
      </c>
      <c r="H7" s="30" t="s">
        <v>257</v>
      </c>
      <c r="I7" s="30">
        <v>303</v>
      </c>
      <c r="J7" s="30" t="s">
        <v>258</v>
      </c>
      <c r="K7" s="25" t="str">
        <f t="shared" si="4"/>
        <v>AR-5006</v>
      </c>
      <c r="L7" s="26">
        <f t="shared" si="5"/>
        <v>45689</v>
      </c>
      <c r="M7" s="26">
        <f t="shared" si="6"/>
        <v>45719</v>
      </c>
      <c r="N7" s="27">
        <f t="shared" si="7"/>
        <v>160000</v>
      </c>
      <c r="O7" s="27">
        <f t="shared" si="8"/>
        <v>160000</v>
      </c>
      <c r="P7" s="25">
        <f t="shared" si="0"/>
        <v>0</v>
      </c>
      <c r="Q7" s="25">
        <f t="shared" ca="1" si="1"/>
        <v>0</v>
      </c>
      <c r="R7" s="25" t="str">
        <f t="shared" si="2"/>
        <v>Paid</v>
      </c>
      <c r="S7" s="25" t="str">
        <f t="shared" si="3"/>
        <v>Paid</v>
      </c>
    </row>
    <row r="8" spans="1:19" x14ac:dyDescent="0.25">
      <c r="A8" s="30" t="s">
        <v>264</v>
      </c>
      <c r="B8" s="30" t="s">
        <v>57</v>
      </c>
      <c r="C8" s="31">
        <v>45689</v>
      </c>
      <c r="D8" s="31">
        <v>45719</v>
      </c>
      <c r="E8" s="32">
        <v>195000</v>
      </c>
      <c r="F8" s="32">
        <v>117000</v>
      </c>
      <c r="G8" s="32">
        <v>78000</v>
      </c>
      <c r="H8" s="30" t="s">
        <v>257</v>
      </c>
      <c r="I8" s="30">
        <v>303</v>
      </c>
      <c r="J8" s="30" t="s">
        <v>258</v>
      </c>
      <c r="K8" s="25" t="str">
        <f t="shared" si="4"/>
        <v>AR-5007</v>
      </c>
      <c r="L8" s="26">
        <f t="shared" si="5"/>
        <v>45689</v>
      </c>
      <c r="M8" s="26">
        <f t="shared" si="6"/>
        <v>45719</v>
      </c>
      <c r="N8" s="27">
        <f t="shared" si="7"/>
        <v>195000</v>
      </c>
      <c r="O8" s="27">
        <f t="shared" si="8"/>
        <v>195000</v>
      </c>
      <c r="P8" s="25">
        <f t="shared" si="0"/>
        <v>0</v>
      </c>
      <c r="Q8" s="25">
        <f t="shared" ca="1" si="1"/>
        <v>0</v>
      </c>
      <c r="R8" s="25" t="str">
        <f t="shared" si="2"/>
        <v>Paid</v>
      </c>
      <c r="S8" s="25" t="str">
        <f t="shared" si="3"/>
        <v>Paid</v>
      </c>
    </row>
    <row r="9" spans="1:19" x14ac:dyDescent="0.25">
      <c r="A9" s="30" t="s">
        <v>265</v>
      </c>
      <c r="B9" s="30" t="s">
        <v>68</v>
      </c>
      <c r="C9" s="31">
        <v>45689</v>
      </c>
      <c r="D9" s="31">
        <v>45719</v>
      </c>
      <c r="E9" s="32">
        <v>230000</v>
      </c>
      <c r="F9" s="32">
        <v>69000</v>
      </c>
      <c r="G9" s="32">
        <v>161000</v>
      </c>
      <c r="H9" s="30" t="s">
        <v>257</v>
      </c>
      <c r="I9" s="30">
        <v>303</v>
      </c>
      <c r="J9" s="30" t="s">
        <v>258</v>
      </c>
      <c r="K9" s="25" t="str">
        <f t="shared" si="4"/>
        <v>AR-5008</v>
      </c>
      <c r="L9" s="26">
        <f t="shared" si="5"/>
        <v>45689</v>
      </c>
      <c r="M9" s="26">
        <f t="shared" si="6"/>
        <v>45719</v>
      </c>
      <c r="N9" s="27">
        <f t="shared" si="7"/>
        <v>230000</v>
      </c>
      <c r="O9" s="27">
        <f t="shared" si="8"/>
        <v>230000</v>
      </c>
      <c r="P9" s="25">
        <f t="shared" si="0"/>
        <v>0</v>
      </c>
      <c r="Q9" s="25">
        <f t="shared" ca="1" si="1"/>
        <v>0</v>
      </c>
      <c r="R9" s="25" t="str">
        <f t="shared" si="2"/>
        <v>Paid</v>
      </c>
      <c r="S9" s="25" t="str">
        <f t="shared" si="3"/>
        <v>Paid</v>
      </c>
    </row>
    <row r="10" spans="1:19" x14ac:dyDescent="0.25">
      <c r="A10" s="30" t="s">
        <v>266</v>
      </c>
      <c r="B10" s="30" t="s">
        <v>61</v>
      </c>
      <c r="C10" s="31">
        <v>45689</v>
      </c>
      <c r="D10" s="31">
        <v>45719</v>
      </c>
      <c r="E10" s="32">
        <v>265000</v>
      </c>
      <c r="F10" s="32">
        <v>0</v>
      </c>
      <c r="G10" s="32">
        <v>265000</v>
      </c>
      <c r="H10" s="30" t="s">
        <v>262</v>
      </c>
      <c r="I10" s="30">
        <v>303</v>
      </c>
      <c r="J10" s="30" t="s">
        <v>258</v>
      </c>
      <c r="K10" s="25" t="str">
        <f t="shared" si="4"/>
        <v>AR-5009</v>
      </c>
      <c r="L10" s="26">
        <f t="shared" si="5"/>
        <v>45689</v>
      </c>
      <c r="M10" s="26">
        <f t="shared" si="6"/>
        <v>45719</v>
      </c>
      <c r="N10" s="27">
        <f t="shared" si="7"/>
        <v>265000</v>
      </c>
      <c r="O10" s="27">
        <f t="shared" si="8"/>
        <v>265000</v>
      </c>
      <c r="P10" s="25">
        <f t="shared" si="0"/>
        <v>0</v>
      </c>
      <c r="Q10" s="25">
        <f t="shared" ca="1" si="1"/>
        <v>0</v>
      </c>
      <c r="R10" s="25" t="str">
        <f t="shared" si="2"/>
        <v>Paid</v>
      </c>
      <c r="S10" s="25" t="str">
        <f t="shared" si="3"/>
        <v>Paid</v>
      </c>
    </row>
    <row r="11" spans="1:19" x14ac:dyDescent="0.25">
      <c r="A11" s="30" t="s">
        <v>267</v>
      </c>
      <c r="B11" s="30" t="s">
        <v>70</v>
      </c>
      <c r="C11" s="31">
        <v>45689</v>
      </c>
      <c r="D11" s="31">
        <v>45719</v>
      </c>
      <c r="E11" s="32">
        <v>300000</v>
      </c>
      <c r="F11" s="32">
        <v>300000</v>
      </c>
      <c r="G11" s="32">
        <v>0</v>
      </c>
      <c r="H11" s="30" t="s">
        <v>254</v>
      </c>
      <c r="I11" s="30">
        <v>0</v>
      </c>
      <c r="J11" s="30" t="s">
        <v>255</v>
      </c>
      <c r="K11" s="25" t="str">
        <f t="shared" si="4"/>
        <v>AR-5010</v>
      </c>
      <c r="L11" s="26">
        <f t="shared" si="5"/>
        <v>45689</v>
      </c>
      <c r="M11" s="26">
        <f t="shared" si="6"/>
        <v>45719</v>
      </c>
      <c r="N11" s="27">
        <f t="shared" si="7"/>
        <v>300000</v>
      </c>
      <c r="O11" s="27">
        <f t="shared" si="8"/>
        <v>300000</v>
      </c>
      <c r="P11" s="25">
        <f t="shared" si="0"/>
        <v>0</v>
      </c>
      <c r="Q11" s="25">
        <f t="shared" ca="1" si="1"/>
        <v>0</v>
      </c>
      <c r="R11" s="25" t="str">
        <f t="shared" si="2"/>
        <v>Paid</v>
      </c>
      <c r="S11" s="25" t="str">
        <f t="shared" si="3"/>
        <v>Paid</v>
      </c>
    </row>
    <row r="12" spans="1:19" x14ac:dyDescent="0.25">
      <c r="A12" s="30" t="s">
        <v>268</v>
      </c>
      <c r="B12" s="30" t="s">
        <v>57</v>
      </c>
      <c r="C12" s="31">
        <v>45717</v>
      </c>
      <c r="D12" s="31">
        <v>45747</v>
      </c>
      <c r="E12" s="32">
        <v>170000</v>
      </c>
      <c r="F12" s="32">
        <v>102000</v>
      </c>
      <c r="G12" s="32">
        <v>68000</v>
      </c>
      <c r="H12" s="30" t="s">
        <v>257</v>
      </c>
      <c r="I12" s="30">
        <v>275</v>
      </c>
      <c r="J12" s="30" t="s">
        <v>258</v>
      </c>
      <c r="K12" s="25" t="str">
        <f t="shared" si="4"/>
        <v>AR-5011</v>
      </c>
      <c r="L12" s="26">
        <f t="shared" si="5"/>
        <v>45717</v>
      </c>
      <c r="M12" s="26">
        <f t="shared" si="6"/>
        <v>45747</v>
      </c>
      <c r="N12" s="27">
        <f t="shared" si="7"/>
        <v>170000</v>
      </c>
      <c r="O12" s="27">
        <f t="shared" si="8"/>
        <v>170000</v>
      </c>
      <c r="P12" s="25">
        <f t="shared" si="0"/>
        <v>0</v>
      </c>
      <c r="Q12" s="25">
        <f t="shared" ca="1" si="1"/>
        <v>0</v>
      </c>
      <c r="R12" s="25" t="str">
        <f t="shared" si="2"/>
        <v>Paid</v>
      </c>
      <c r="S12" s="25" t="str">
        <f t="shared" si="3"/>
        <v>Paid</v>
      </c>
    </row>
    <row r="13" spans="1:19" x14ac:dyDescent="0.25">
      <c r="A13" s="30" t="s">
        <v>269</v>
      </c>
      <c r="B13" s="30" t="s">
        <v>68</v>
      </c>
      <c r="C13" s="31">
        <v>45717</v>
      </c>
      <c r="D13" s="31">
        <v>45747</v>
      </c>
      <c r="E13" s="32">
        <v>205000</v>
      </c>
      <c r="F13" s="32">
        <v>61500</v>
      </c>
      <c r="G13" s="32">
        <v>143500</v>
      </c>
      <c r="H13" s="30" t="s">
        <v>257</v>
      </c>
      <c r="I13" s="30">
        <v>275</v>
      </c>
      <c r="J13" s="30" t="s">
        <v>258</v>
      </c>
      <c r="K13" s="25" t="str">
        <f t="shared" si="4"/>
        <v>AR-5012</v>
      </c>
      <c r="L13" s="26">
        <f t="shared" si="5"/>
        <v>45717</v>
      </c>
      <c r="M13" s="26">
        <f t="shared" si="6"/>
        <v>45747</v>
      </c>
      <c r="N13" s="27">
        <f t="shared" si="7"/>
        <v>205000</v>
      </c>
      <c r="O13" s="27">
        <f t="shared" si="8"/>
        <v>205000</v>
      </c>
      <c r="P13" s="25">
        <f t="shared" si="0"/>
        <v>0</v>
      </c>
      <c r="Q13" s="25">
        <f t="shared" ca="1" si="1"/>
        <v>0</v>
      </c>
      <c r="R13" s="25" t="str">
        <f t="shared" si="2"/>
        <v>Paid</v>
      </c>
      <c r="S13" s="25" t="str">
        <f t="shared" si="3"/>
        <v>Paid</v>
      </c>
    </row>
    <row r="14" spans="1:19" x14ac:dyDescent="0.25">
      <c r="A14" s="30" t="s">
        <v>270</v>
      </c>
      <c r="B14" s="30" t="s">
        <v>61</v>
      </c>
      <c r="C14" s="31">
        <v>45717</v>
      </c>
      <c r="D14" s="31">
        <v>45747</v>
      </c>
      <c r="E14" s="32">
        <v>240000</v>
      </c>
      <c r="F14" s="32">
        <v>0</v>
      </c>
      <c r="G14" s="32">
        <v>240000</v>
      </c>
      <c r="H14" s="30" t="s">
        <v>262</v>
      </c>
      <c r="I14" s="30">
        <v>275</v>
      </c>
      <c r="J14" s="30" t="s">
        <v>258</v>
      </c>
      <c r="K14" s="25" t="str">
        <f t="shared" si="4"/>
        <v>AR-5013</v>
      </c>
      <c r="L14" s="26">
        <f t="shared" si="5"/>
        <v>45717</v>
      </c>
      <c r="M14" s="26">
        <f t="shared" si="6"/>
        <v>45747</v>
      </c>
      <c r="N14" s="27">
        <f t="shared" si="7"/>
        <v>240000</v>
      </c>
      <c r="O14" s="27">
        <f t="shared" si="8"/>
        <v>240000</v>
      </c>
      <c r="P14" s="25">
        <f t="shared" si="0"/>
        <v>0</v>
      </c>
      <c r="Q14" s="25">
        <f t="shared" ca="1" si="1"/>
        <v>0</v>
      </c>
      <c r="R14" s="25" t="str">
        <f t="shared" si="2"/>
        <v>Paid</v>
      </c>
      <c r="S14" s="25" t="str">
        <f t="shared" si="3"/>
        <v>Paid</v>
      </c>
    </row>
    <row r="15" spans="1:19" x14ac:dyDescent="0.25">
      <c r="A15" s="30" t="s">
        <v>271</v>
      </c>
      <c r="B15" s="30" t="s">
        <v>70</v>
      </c>
      <c r="C15" s="31">
        <v>45717</v>
      </c>
      <c r="D15" s="31">
        <v>45747</v>
      </c>
      <c r="E15" s="32">
        <v>275000</v>
      </c>
      <c r="F15" s="32">
        <v>275000</v>
      </c>
      <c r="G15" s="32">
        <v>0</v>
      </c>
      <c r="H15" s="30" t="s">
        <v>254</v>
      </c>
      <c r="I15" s="30">
        <v>0</v>
      </c>
      <c r="J15" s="30" t="s">
        <v>255</v>
      </c>
      <c r="K15" s="25" t="str">
        <f t="shared" si="4"/>
        <v>AR-5014</v>
      </c>
      <c r="L15" s="26">
        <f t="shared" si="5"/>
        <v>45717</v>
      </c>
      <c r="M15" s="26">
        <f t="shared" si="6"/>
        <v>45747</v>
      </c>
      <c r="N15" s="27">
        <f t="shared" si="7"/>
        <v>275000</v>
      </c>
      <c r="O15" s="27">
        <f t="shared" si="8"/>
        <v>275000</v>
      </c>
      <c r="P15" s="25">
        <f t="shared" si="0"/>
        <v>0</v>
      </c>
      <c r="Q15" s="25">
        <f t="shared" ca="1" si="1"/>
        <v>0</v>
      </c>
      <c r="R15" s="25" t="str">
        <f t="shared" si="2"/>
        <v>Paid</v>
      </c>
      <c r="S15" s="25" t="str">
        <f t="shared" si="3"/>
        <v>Paid</v>
      </c>
    </row>
    <row r="16" spans="1:19" x14ac:dyDescent="0.25">
      <c r="A16" s="30" t="s">
        <v>272</v>
      </c>
      <c r="B16" s="30" t="s">
        <v>52</v>
      </c>
      <c r="C16" s="31">
        <v>45717</v>
      </c>
      <c r="D16" s="31">
        <v>45747</v>
      </c>
      <c r="E16" s="32">
        <v>310000</v>
      </c>
      <c r="F16" s="32">
        <v>263500</v>
      </c>
      <c r="G16" s="32">
        <v>46500</v>
      </c>
      <c r="H16" s="30" t="s">
        <v>257</v>
      </c>
      <c r="I16" s="30">
        <v>275</v>
      </c>
      <c r="J16" s="30" t="s">
        <v>258</v>
      </c>
      <c r="K16" s="25" t="str">
        <f t="shared" si="4"/>
        <v>AR-5015</v>
      </c>
      <c r="L16" s="26">
        <f t="shared" si="5"/>
        <v>45717</v>
      </c>
      <c r="M16" s="26">
        <f t="shared" si="6"/>
        <v>45747</v>
      </c>
      <c r="N16" s="27">
        <f t="shared" si="7"/>
        <v>310000</v>
      </c>
      <c r="O16" s="27">
        <f t="shared" si="8"/>
        <v>310000</v>
      </c>
      <c r="P16" s="25">
        <f t="shared" si="0"/>
        <v>0</v>
      </c>
      <c r="Q16" s="25">
        <f t="shared" ca="1" si="1"/>
        <v>0</v>
      </c>
      <c r="R16" s="25" t="str">
        <f t="shared" si="2"/>
        <v>Paid</v>
      </c>
      <c r="S16" s="25" t="str">
        <f t="shared" si="3"/>
        <v>Paid</v>
      </c>
    </row>
    <row r="17" spans="1:19" x14ac:dyDescent="0.25">
      <c r="A17" s="30" t="s">
        <v>273</v>
      </c>
      <c r="B17" s="30" t="s">
        <v>68</v>
      </c>
      <c r="C17" s="31">
        <v>45748</v>
      </c>
      <c r="D17" s="31">
        <v>45778</v>
      </c>
      <c r="E17" s="32">
        <v>180000</v>
      </c>
      <c r="F17" s="32">
        <v>54000</v>
      </c>
      <c r="G17" s="32">
        <v>126000</v>
      </c>
      <c r="H17" s="30" t="s">
        <v>257</v>
      </c>
      <c r="I17" s="30">
        <v>244</v>
      </c>
      <c r="J17" s="30" t="s">
        <v>258</v>
      </c>
      <c r="K17" s="25" t="str">
        <f t="shared" si="4"/>
        <v>AR-5016</v>
      </c>
      <c r="L17" s="26">
        <f t="shared" si="5"/>
        <v>45748</v>
      </c>
      <c r="M17" s="26">
        <f t="shared" si="6"/>
        <v>45778</v>
      </c>
      <c r="N17" s="27">
        <f t="shared" si="7"/>
        <v>180000</v>
      </c>
      <c r="O17" s="27">
        <f t="shared" si="8"/>
        <v>180000</v>
      </c>
      <c r="P17" s="25">
        <f t="shared" si="0"/>
        <v>0</v>
      </c>
      <c r="Q17" s="25">
        <f t="shared" ca="1" si="1"/>
        <v>0</v>
      </c>
      <c r="R17" s="25" t="str">
        <f t="shared" si="2"/>
        <v>Paid</v>
      </c>
      <c r="S17" s="25" t="str">
        <f t="shared" si="3"/>
        <v>Paid</v>
      </c>
    </row>
    <row r="18" spans="1:19" x14ac:dyDescent="0.25">
      <c r="A18" s="30" t="s">
        <v>274</v>
      </c>
      <c r="B18" s="30" t="s">
        <v>61</v>
      </c>
      <c r="C18" s="31">
        <v>45748</v>
      </c>
      <c r="D18" s="31">
        <v>45778</v>
      </c>
      <c r="E18" s="32">
        <v>215000</v>
      </c>
      <c r="F18" s="32">
        <v>0</v>
      </c>
      <c r="G18" s="32">
        <v>215000</v>
      </c>
      <c r="H18" s="30" t="s">
        <v>262</v>
      </c>
      <c r="I18" s="30">
        <v>244</v>
      </c>
      <c r="J18" s="30" t="s">
        <v>258</v>
      </c>
      <c r="K18" s="25" t="str">
        <f t="shared" si="4"/>
        <v>AR-5017</v>
      </c>
      <c r="L18" s="26">
        <f t="shared" si="5"/>
        <v>45748</v>
      </c>
      <c r="M18" s="26">
        <f t="shared" si="6"/>
        <v>45778</v>
      </c>
      <c r="N18" s="27">
        <f t="shared" si="7"/>
        <v>215000</v>
      </c>
      <c r="O18" s="27">
        <f t="shared" si="8"/>
        <v>215000</v>
      </c>
      <c r="P18" s="25">
        <f t="shared" si="0"/>
        <v>0</v>
      </c>
      <c r="Q18" s="25">
        <f t="shared" ca="1" si="1"/>
        <v>0</v>
      </c>
      <c r="R18" s="25" t="str">
        <f t="shared" si="2"/>
        <v>Paid</v>
      </c>
      <c r="S18" s="25" t="str">
        <f t="shared" si="3"/>
        <v>Paid</v>
      </c>
    </row>
    <row r="19" spans="1:19" x14ac:dyDescent="0.25">
      <c r="A19" s="30" t="s">
        <v>275</v>
      </c>
      <c r="B19" s="30" t="s">
        <v>70</v>
      </c>
      <c r="C19" s="31">
        <v>45748</v>
      </c>
      <c r="D19" s="31">
        <v>45778</v>
      </c>
      <c r="E19" s="32">
        <v>250000</v>
      </c>
      <c r="F19" s="32">
        <v>250000</v>
      </c>
      <c r="G19" s="32">
        <v>0</v>
      </c>
      <c r="H19" s="30" t="s">
        <v>254</v>
      </c>
      <c r="I19" s="30">
        <v>0</v>
      </c>
      <c r="J19" s="30" t="s">
        <v>255</v>
      </c>
      <c r="K19" s="25" t="str">
        <f t="shared" si="4"/>
        <v>AR-5018</v>
      </c>
      <c r="L19" s="26">
        <f t="shared" si="5"/>
        <v>45748</v>
      </c>
      <c r="M19" s="26">
        <f t="shared" si="6"/>
        <v>45778</v>
      </c>
      <c r="N19" s="27">
        <f t="shared" si="7"/>
        <v>250000</v>
      </c>
      <c r="O19" s="27">
        <f t="shared" si="8"/>
        <v>250000</v>
      </c>
      <c r="P19" s="25">
        <f t="shared" si="0"/>
        <v>0</v>
      </c>
      <c r="Q19" s="25">
        <f t="shared" ca="1" si="1"/>
        <v>0</v>
      </c>
      <c r="R19" s="25" t="str">
        <f t="shared" si="2"/>
        <v>Paid</v>
      </c>
      <c r="S19" s="25" t="str">
        <f t="shared" si="3"/>
        <v>Paid</v>
      </c>
    </row>
    <row r="20" spans="1:19" x14ac:dyDescent="0.25">
      <c r="A20" s="30" t="s">
        <v>276</v>
      </c>
      <c r="B20" s="30" t="s">
        <v>52</v>
      </c>
      <c r="C20" s="31">
        <v>45748</v>
      </c>
      <c r="D20" s="31">
        <v>45778</v>
      </c>
      <c r="E20" s="32">
        <v>285000</v>
      </c>
      <c r="F20" s="32">
        <v>242200</v>
      </c>
      <c r="G20" s="32">
        <v>42800</v>
      </c>
      <c r="H20" s="30" t="s">
        <v>257</v>
      </c>
      <c r="I20" s="30">
        <v>244</v>
      </c>
      <c r="J20" s="30" t="s">
        <v>258</v>
      </c>
      <c r="K20" s="25" t="str">
        <f t="shared" si="4"/>
        <v>AR-5019</v>
      </c>
      <c r="L20" s="26">
        <f t="shared" si="5"/>
        <v>45748</v>
      </c>
      <c r="M20" s="26">
        <f t="shared" si="6"/>
        <v>45778</v>
      </c>
      <c r="N20" s="27">
        <f t="shared" si="7"/>
        <v>285000</v>
      </c>
      <c r="O20" s="27">
        <f t="shared" si="8"/>
        <v>285000</v>
      </c>
      <c r="P20" s="25">
        <f t="shared" si="0"/>
        <v>0</v>
      </c>
      <c r="Q20" s="25">
        <f t="shared" ca="1" si="1"/>
        <v>0</v>
      </c>
      <c r="R20" s="25" t="str">
        <f t="shared" si="2"/>
        <v>Paid</v>
      </c>
      <c r="S20" s="25" t="str">
        <f t="shared" si="3"/>
        <v>Paid</v>
      </c>
    </row>
    <row r="21" spans="1:19" x14ac:dyDescent="0.25">
      <c r="A21" s="30" t="s">
        <v>277</v>
      </c>
      <c r="B21" s="30" t="s">
        <v>66</v>
      </c>
      <c r="C21" s="31">
        <v>45748</v>
      </c>
      <c r="D21" s="31">
        <v>45778</v>
      </c>
      <c r="E21" s="32">
        <v>320000</v>
      </c>
      <c r="F21" s="32">
        <v>192000</v>
      </c>
      <c r="G21" s="32">
        <v>128000</v>
      </c>
      <c r="H21" s="30" t="s">
        <v>257</v>
      </c>
      <c r="I21" s="30">
        <v>244</v>
      </c>
      <c r="J21" s="30" t="s">
        <v>258</v>
      </c>
      <c r="K21" s="25" t="str">
        <f t="shared" si="4"/>
        <v>AR-5020</v>
      </c>
      <c r="L21" s="26">
        <f t="shared" si="5"/>
        <v>45748</v>
      </c>
      <c r="M21" s="26">
        <f t="shared" si="6"/>
        <v>45778</v>
      </c>
      <c r="N21" s="27">
        <f t="shared" si="7"/>
        <v>320000</v>
      </c>
      <c r="O21" s="27">
        <f t="shared" si="8"/>
        <v>320000</v>
      </c>
      <c r="P21" s="25">
        <f t="shared" si="0"/>
        <v>0</v>
      </c>
      <c r="Q21" s="25">
        <f t="shared" ca="1" si="1"/>
        <v>0</v>
      </c>
      <c r="R21" s="25" t="str">
        <f t="shared" si="2"/>
        <v>Paid</v>
      </c>
      <c r="S21" s="25" t="str">
        <f t="shared" si="3"/>
        <v>Paid</v>
      </c>
    </row>
    <row r="22" spans="1:19" x14ac:dyDescent="0.25">
      <c r="A22" s="30" t="s">
        <v>278</v>
      </c>
      <c r="B22" s="30" t="s">
        <v>61</v>
      </c>
      <c r="C22" s="31">
        <v>45778</v>
      </c>
      <c r="D22" s="31">
        <v>45808</v>
      </c>
      <c r="E22" s="32">
        <v>190000</v>
      </c>
      <c r="F22" s="32">
        <v>0</v>
      </c>
      <c r="G22" s="32">
        <v>190000</v>
      </c>
      <c r="H22" s="30" t="s">
        <v>262</v>
      </c>
      <c r="I22" s="30">
        <v>214</v>
      </c>
      <c r="J22" s="30" t="s">
        <v>258</v>
      </c>
      <c r="K22" s="25" t="str">
        <f t="shared" si="4"/>
        <v>AR-5021</v>
      </c>
      <c r="L22" s="26">
        <f t="shared" si="5"/>
        <v>45778</v>
      </c>
      <c r="M22" s="26">
        <f t="shared" si="6"/>
        <v>45808</v>
      </c>
      <c r="N22" s="27">
        <f t="shared" si="7"/>
        <v>190000</v>
      </c>
      <c r="O22" s="27">
        <f t="shared" si="8"/>
        <v>190000</v>
      </c>
      <c r="P22" s="25">
        <f t="shared" si="0"/>
        <v>0</v>
      </c>
      <c r="Q22" s="25">
        <f t="shared" ca="1" si="1"/>
        <v>0</v>
      </c>
      <c r="R22" s="25" t="str">
        <f t="shared" si="2"/>
        <v>Paid</v>
      </c>
      <c r="S22" s="25" t="str">
        <f t="shared" si="3"/>
        <v>Paid</v>
      </c>
    </row>
    <row r="23" spans="1:19" x14ac:dyDescent="0.25">
      <c r="A23" s="30" t="s">
        <v>279</v>
      </c>
      <c r="B23" s="30" t="s">
        <v>70</v>
      </c>
      <c r="C23" s="31">
        <v>45778</v>
      </c>
      <c r="D23" s="31">
        <v>45808</v>
      </c>
      <c r="E23" s="32">
        <v>225000</v>
      </c>
      <c r="F23" s="32">
        <v>225000</v>
      </c>
      <c r="G23" s="32">
        <v>0</v>
      </c>
      <c r="H23" s="30" t="s">
        <v>254</v>
      </c>
      <c r="I23" s="30">
        <v>0</v>
      </c>
      <c r="J23" s="30" t="s">
        <v>255</v>
      </c>
      <c r="K23" s="25" t="str">
        <f t="shared" si="4"/>
        <v>AR-5022</v>
      </c>
      <c r="L23" s="26">
        <f t="shared" si="5"/>
        <v>45778</v>
      </c>
      <c r="M23" s="26">
        <f t="shared" si="6"/>
        <v>45808</v>
      </c>
      <c r="N23" s="27">
        <f t="shared" si="7"/>
        <v>225000</v>
      </c>
      <c r="O23" s="27">
        <f t="shared" si="8"/>
        <v>225000</v>
      </c>
      <c r="P23" s="25">
        <f t="shared" si="0"/>
        <v>0</v>
      </c>
      <c r="Q23" s="25">
        <f t="shared" ca="1" si="1"/>
        <v>0</v>
      </c>
      <c r="R23" s="25" t="str">
        <f t="shared" si="2"/>
        <v>Paid</v>
      </c>
      <c r="S23" s="25" t="str">
        <f t="shared" si="3"/>
        <v>Paid</v>
      </c>
    </row>
    <row r="24" spans="1:19" x14ac:dyDescent="0.25">
      <c r="A24" s="30" t="s">
        <v>280</v>
      </c>
      <c r="B24" s="30" t="s">
        <v>52</v>
      </c>
      <c r="C24" s="31">
        <v>45778</v>
      </c>
      <c r="D24" s="31">
        <v>45808</v>
      </c>
      <c r="E24" s="32">
        <v>260000</v>
      </c>
      <c r="F24" s="32">
        <v>221000</v>
      </c>
      <c r="G24" s="32">
        <v>39000</v>
      </c>
      <c r="H24" s="30" t="s">
        <v>257</v>
      </c>
      <c r="I24" s="30">
        <v>214</v>
      </c>
      <c r="J24" s="30" t="s">
        <v>258</v>
      </c>
      <c r="K24" s="25" t="str">
        <f t="shared" si="4"/>
        <v>AR-5023</v>
      </c>
      <c r="L24" s="26">
        <f t="shared" si="5"/>
        <v>45778</v>
      </c>
      <c r="M24" s="26">
        <f t="shared" si="6"/>
        <v>45808</v>
      </c>
      <c r="N24" s="27">
        <f t="shared" si="7"/>
        <v>260000</v>
      </c>
      <c r="O24" s="27">
        <f t="shared" si="8"/>
        <v>260000</v>
      </c>
      <c r="P24" s="25">
        <f t="shared" si="0"/>
        <v>0</v>
      </c>
      <c r="Q24" s="25">
        <f t="shared" ca="1" si="1"/>
        <v>0</v>
      </c>
      <c r="R24" s="25" t="str">
        <f t="shared" si="2"/>
        <v>Paid</v>
      </c>
      <c r="S24" s="25" t="str">
        <f t="shared" si="3"/>
        <v>Paid</v>
      </c>
    </row>
    <row r="25" spans="1:19" x14ac:dyDescent="0.25">
      <c r="A25" s="30" t="s">
        <v>281</v>
      </c>
      <c r="B25" s="30" t="s">
        <v>66</v>
      </c>
      <c r="C25" s="31">
        <v>45778</v>
      </c>
      <c r="D25" s="31">
        <v>45808</v>
      </c>
      <c r="E25" s="32">
        <v>295000</v>
      </c>
      <c r="F25" s="32">
        <v>177000</v>
      </c>
      <c r="G25" s="32">
        <v>118000</v>
      </c>
      <c r="H25" s="30" t="s">
        <v>257</v>
      </c>
      <c r="I25" s="30">
        <v>214</v>
      </c>
      <c r="J25" s="30" t="s">
        <v>258</v>
      </c>
      <c r="K25" s="25" t="str">
        <f t="shared" si="4"/>
        <v>AR-5024</v>
      </c>
      <c r="L25" s="26">
        <f t="shared" si="5"/>
        <v>45778</v>
      </c>
      <c r="M25" s="26">
        <f t="shared" si="6"/>
        <v>45808</v>
      </c>
      <c r="N25" s="27">
        <f t="shared" si="7"/>
        <v>295000</v>
      </c>
      <c r="O25" s="27">
        <f t="shared" si="8"/>
        <v>295000</v>
      </c>
      <c r="P25" s="25">
        <f t="shared" si="0"/>
        <v>0</v>
      </c>
      <c r="Q25" s="25">
        <f t="shared" ca="1" si="1"/>
        <v>0</v>
      </c>
      <c r="R25" s="25" t="str">
        <f t="shared" si="2"/>
        <v>Paid</v>
      </c>
      <c r="S25" s="25" t="str">
        <f t="shared" si="3"/>
        <v>Paid</v>
      </c>
    </row>
    <row r="26" spans="1:19" x14ac:dyDescent="0.25">
      <c r="A26" s="30" t="s">
        <v>282</v>
      </c>
      <c r="B26" s="30" t="s">
        <v>57</v>
      </c>
      <c r="C26" s="31">
        <v>45778</v>
      </c>
      <c r="D26" s="31">
        <v>45808</v>
      </c>
      <c r="E26" s="32">
        <v>330000</v>
      </c>
      <c r="F26" s="32">
        <v>99000</v>
      </c>
      <c r="G26" s="32">
        <v>231000</v>
      </c>
      <c r="H26" s="30" t="s">
        <v>257</v>
      </c>
      <c r="I26" s="30">
        <v>214</v>
      </c>
      <c r="J26" s="30" t="s">
        <v>258</v>
      </c>
      <c r="K26" s="25" t="str">
        <f t="shared" si="4"/>
        <v>AR-5025</v>
      </c>
      <c r="L26" s="26">
        <f t="shared" si="5"/>
        <v>45778</v>
      </c>
      <c r="M26" s="26">
        <f t="shared" si="6"/>
        <v>45808</v>
      </c>
      <c r="N26" s="27">
        <f t="shared" si="7"/>
        <v>330000</v>
      </c>
      <c r="O26" s="27">
        <f t="shared" si="8"/>
        <v>330000</v>
      </c>
      <c r="P26" s="25">
        <f t="shared" si="0"/>
        <v>0</v>
      </c>
      <c r="Q26" s="25">
        <f t="shared" ca="1" si="1"/>
        <v>0</v>
      </c>
      <c r="R26" s="25" t="str">
        <f t="shared" si="2"/>
        <v>Paid</v>
      </c>
      <c r="S26" s="25" t="str">
        <f t="shared" si="3"/>
        <v>Paid</v>
      </c>
    </row>
    <row r="27" spans="1:19" x14ac:dyDescent="0.25">
      <c r="A27" s="30" t="s">
        <v>283</v>
      </c>
      <c r="B27" s="30" t="s">
        <v>70</v>
      </c>
      <c r="C27" s="31">
        <v>45809</v>
      </c>
      <c r="D27" s="31">
        <v>45839</v>
      </c>
      <c r="E27" s="32">
        <v>200000</v>
      </c>
      <c r="F27" s="32">
        <v>200000</v>
      </c>
      <c r="G27" s="32">
        <v>0</v>
      </c>
      <c r="H27" s="30" t="s">
        <v>254</v>
      </c>
      <c r="I27" s="30">
        <v>0</v>
      </c>
      <c r="J27" s="30" t="s">
        <v>255</v>
      </c>
      <c r="K27" s="25" t="str">
        <f t="shared" si="4"/>
        <v>AR-5026</v>
      </c>
      <c r="L27" s="26">
        <f t="shared" si="5"/>
        <v>45809</v>
      </c>
      <c r="M27" s="26">
        <f t="shared" si="6"/>
        <v>45839</v>
      </c>
      <c r="N27" s="27">
        <f t="shared" si="7"/>
        <v>200000</v>
      </c>
      <c r="O27" s="27">
        <f t="shared" si="8"/>
        <v>200000</v>
      </c>
      <c r="P27" s="25">
        <f t="shared" si="0"/>
        <v>0</v>
      </c>
      <c r="Q27" s="25">
        <f t="shared" ca="1" si="1"/>
        <v>0</v>
      </c>
      <c r="R27" s="25" t="str">
        <f t="shared" si="2"/>
        <v>Paid</v>
      </c>
      <c r="S27" s="25" t="str">
        <f t="shared" si="3"/>
        <v>Paid</v>
      </c>
    </row>
    <row r="28" spans="1:19" x14ac:dyDescent="0.25">
      <c r="A28" s="30" t="s">
        <v>284</v>
      </c>
      <c r="B28" s="30" t="s">
        <v>52</v>
      </c>
      <c r="C28" s="31">
        <v>45809</v>
      </c>
      <c r="D28" s="31">
        <v>45839</v>
      </c>
      <c r="E28" s="32">
        <v>235000</v>
      </c>
      <c r="F28" s="32">
        <v>199800</v>
      </c>
      <c r="G28" s="32">
        <v>35200</v>
      </c>
      <c r="H28" s="30" t="s">
        <v>257</v>
      </c>
      <c r="I28" s="30">
        <v>183</v>
      </c>
      <c r="J28" s="30" t="s">
        <v>258</v>
      </c>
      <c r="K28" s="25" t="str">
        <f t="shared" si="4"/>
        <v>AR-5027</v>
      </c>
      <c r="L28" s="26">
        <f t="shared" si="5"/>
        <v>45809</v>
      </c>
      <c r="M28" s="26">
        <f t="shared" si="6"/>
        <v>45839</v>
      </c>
      <c r="N28" s="27">
        <f t="shared" si="7"/>
        <v>235000</v>
      </c>
      <c r="O28" s="27">
        <f t="shared" si="8"/>
        <v>235000</v>
      </c>
      <c r="P28" s="25">
        <f t="shared" si="0"/>
        <v>0</v>
      </c>
      <c r="Q28" s="25">
        <f t="shared" ca="1" si="1"/>
        <v>0</v>
      </c>
      <c r="R28" s="25" t="str">
        <f t="shared" si="2"/>
        <v>Paid</v>
      </c>
      <c r="S28" s="25" t="str">
        <f t="shared" si="3"/>
        <v>Paid</v>
      </c>
    </row>
    <row r="29" spans="1:19" x14ac:dyDescent="0.25">
      <c r="A29" s="30" t="s">
        <v>285</v>
      </c>
      <c r="B29" s="30" t="s">
        <v>66</v>
      </c>
      <c r="C29" s="31">
        <v>45809</v>
      </c>
      <c r="D29" s="31">
        <v>45839</v>
      </c>
      <c r="E29" s="32">
        <v>270000</v>
      </c>
      <c r="F29" s="32">
        <v>162000</v>
      </c>
      <c r="G29" s="32">
        <v>108000</v>
      </c>
      <c r="H29" s="30" t="s">
        <v>257</v>
      </c>
      <c r="I29" s="30">
        <v>183</v>
      </c>
      <c r="J29" s="30" t="s">
        <v>258</v>
      </c>
      <c r="K29" s="25" t="str">
        <f t="shared" si="4"/>
        <v>AR-5028</v>
      </c>
      <c r="L29" s="26">
        <f t="shared" si="5"/>
        <v>45809</v>
      </c>
      <c r="M29" s="26">
        <f t="shared" si="6"/>
        <v>45839</v>
      </c>
      <c r="N29" s="27">
        <f t="shared" si="7"/>
        <v>270000</v>
      </c>
      <c r="O29" s="27">
        <f t="shared" si="8"/>
        <v>270000</v>
      </c>
      <c r="P29" s="25">
        <f t="shared" si="0"/>
        <v>0</v>
      </c>
      <c r="Q29" s="25">
        <f t="shared" ca="1" si="1"/>
        <v>0</v>
      </c>
      <c r="R29" s="25" t="str">
        <f t="shared" si="2"/>
        <v>Paid</v>
      </c>
      <c r="S29" s="25" t="str">
        <f t="shared" si="3"/>
        <v>Paid</v>
      </c>
    </row>
    <row r="30" spans="1:19" x14ac:dyDescent="0.25">
      <c r="A30" s="30" t="s">
        <v>286</v>
      </c>
      <c r="B30" s="30" t="s">
        <v>57</v>
      </c>
      <c r="C30" s="31">
        <v>45809</v>
      </c>
      <c r="D30" s="31">
        <v>45839</v>
      </c>
      <c r="E30" s="32">
        <v>305000</v>
      </c>
      <c r="F30" s="32">
        <v>91500</v>
      </c>
      <c r="G30" s="32">
        <v>213500</v>
      </c>
      <c r="H30" s="30" t="s">
        <v>257</v>
      </c>
      <c r="I30" s="30">
        <v>183</v>
      </c>
      <c r="J30" s="30" t="s">
        <v>258</v>
      </c>
      <c r="K30" s="25" t="str">
        <f t="shared" si="4"/>
        <v>AR-5029</v>
      </c>
      <c r="L30" s="26">
        <f t="shared" si="5"/>
        <v>45809</v>
      </c>
      <c r="M30" s="26">
        <f t="shared" si="6"/>
        <v>45839</v>
      </c>
      <c r="N30" s="27">
        <f t="shared" si="7"/>
        <v>305000</v>
      </c>
      <c r="O30" s="27">
        <f>N30</f>
        <v>305000</v>
      </c>
      <c r="P30" s="25">
        <f t="shared" si="0"/>
        <v>0</v>
      </c>
      <c r="Q30" s="25">
        <f t="shared" ca="1" si="1"/>
        <v>0</v>
      </c>
      <c r="R30" s="25" t="str">
        <f t="shared" si="2"/>
        <v>Paid</v>
      </c>
      <c r="S30" s="25" t="str">
        <f t="shared" si="3"/>
        <v>Paid</v>
      </c>
    </row>
    <row r="31" spans="1:19" x14ac:dyDescent="0.25">
      <c r="A31" s="30" t="s">
        <v>287</v>
      </c>
      <c r="B31" s="30" t="s">
        <v>68</v>
      </c>
      <c r="C31" s="31">
        <v>45809</v>
      </c>
      <c r="D31" s="31">
        <v>45839</v>
      </c>
      <c r="E31" s="32">
        <v>340000</v>
      </c>
      <c r="F31" s="32">
        <v>0</v>
      </c>
      <c r="G31" s="32">
        <v>340000</v>
      </c>
      <c r="H31" s="30" t="s">
        <v>262</v>
      </c>
      <c r="I31" s="30">
        <v>183</v>
      </c>
      <c r="J31" s="30" t="s">
        <v>258</v>
      </c>
      <c r="K31" s="25" t="str">
        <f t="shared" si="4"/>
        <v>AR-5030</v>
      </c>
      <c r="L31" s="26">
        <f t="shared" si="5"/>
        <v>45809</v>
      </c>
      <c r="M31" s="26">
        <f t="shared" si="6"/>
        <v>45839</v>
      </c>
      <c r="N31" s="27">
        <f t="shared" si="7"/>
        <v>340000</v>
      </c>
      <c r="O31" s="27">
        <f t="shared" ref="O31:O61" si="9">N31</f>
        <v>340000</v>
      </c>
      <c r="P31" s="25">
        <f t="shared" si="0"/>
        <v>0</v>
      </c>
      <c r="Q31" s="25">
        <f t="shared" ca="1" si="1"/>
        <v>0</v>
      </c>
      <c r="R31" s="25" t="str">
        <f t="shared" si="2"/>
        <v>Paid</v>
      </c>
      <c r="S31" s="25" t="str">
        <f t="shared" si="3"/>
        <v>Paid</v>
      </c>
    </row>
    <row r="32" spans="1:19" x14ac:dyDescent="0.25">
      <c r="A32" s="30" t="s">
        <v>288</v>
      </c>
      <c r="B32" s="30" t="s">
        <v>52</v>
      </c>
      <c r="C32" s="31">
        <v>45839</v>
      </c>
      <c r="D32" s="31">
        <v>45869</v>
      </c>
      <c r="E32" s="32">
        <v>210000</v>
      </c>
      <c r="F32" s="32">
        <v>178500</v>
      </c>
      <c r="G32" s="32">
        <v>31500</v>
      </c>
      <c r="H32" s="30" t="s">
        <v>257</v>
      </c>
      <c r="I32" s="30">
        <v>153</v>
      </c>
      <c r="J32" s="30" t="s">
        <v>258</v>
      </c>
      <c r="K32" s="25" t="str">
        <f t="shared" si="4"/>
        <v>AR-5031</v>
      </c>
      <c r="L32" s="26">
        <f t="shared" si="5"/>
        <v>45839</v>
      </c>
      <c r="M32" s="26">
        <f t="shared" si="6"/>
        <v>45869</v>
      </c>
      <c r="N32" s="27">
        <f t="shared" si="7"/>
        <v>210000</v>
      </c>
      <c r="O32" s="27">
        <f t="shared" si="9"/>
        <v>210000</v>
      </c>
      <c r="P32" s="25">
        <f t="shared" si="0"/>
        <v>0</v>
      </c>
      <c r="Q32" s="25">
        <f t="shared" ca="1" si="1"/>
        <v>0</v>
      </c>
      <c r="R32" s="25" t="str">
        <f t="shared" si="2"/>
        <v>Paid</v>
      </c>
      <c r="S32" s="25" t="str">
        <f t="shared" si="3"/>
        <v>Paid</v>
      </c>
    </row>
    <row r="33" spans="1:19" x14ac:dyDescent="0.25">
      <c r="A33" s="30" t="s">
        <v>289</v>
      </c>
      <c r="B33" s="30" t="s">
        <v>66</v>
      </c>
      <c r="C33" s="31">
        <v>45839</v>
      </c>
      <c r="D33" s="31">
        <v>45869</v>
      </c>
      <c r="E33" s="32">
        <v>245000</v>
      </c>
      <c r="F33" s="32">
        <v>147000</v>
      </c>
      <c r="G33" s="32">
        <v>98000</v>
      </c>
      <c r="H33" s="30" t="s">
        <v>257</v>
      </c>
      <c r="I33" s="30">
        <v>153</v>
      </c>
      <c r="J33" s="30" t="s">
        <v>258</v>
      </c>
      <c r="K33" s="25" t="str">
        <f t="shared" si="4"/>
        <v>AR-5032</v>
      </c>
      <c r="L33" s="26">
        <f t="shared" si="5"/>
        <v>45839</v>
      </c>
      <c r="M33" s="26">
        <f t="shared" si="6"/>
        <v>45869</v>
      </c>
      <c r="N33" s="27">
        <f t="shared" si="7"/>
        <v>245000</v>
      </c>
      <c r="O33" s="27">
        <f t="shared" si="9"/>
        <v>245000</v>
      </c>
      <c r="P33" s="25">
        <f t="shared" si="0"/>
        <v>0</v>
      </c>
      <c r="Q33" s="25">
        <f t="shared" ca="1" si="1"/>
        <v>0</v>
      </c>
      <c r="R33" s="25" t="str">
        <f t="shared" si="2"/>
        <v>Paid</v>
      </c>
      <c r="S33" s="25" t="str">
        <f t="shared" si="3"/>
        <v>Paid</v>
      </c>
    </row>
    <row r="34" spans="1:19" x14ac:dyDescent="0.25">
      <c r="A34" s="30" t="s">
        <v>290</v>
      </c>
      <c r="B34" s="30" t="s">
        <v>57</v>
      </c>
      <c r="C34" s="31">
        <v>45839</v>
      </c>
      <c r="D34" s="31">
        <v>45869</v>
      </c>
      <c r="E34" s="32">
        <v>280000</v>
      </c>
      <c r="F34" s="32">
        <v>84000</v>
      </c>
      <c r="G34" s="32">
        <v>196000</v>
      </c>
      <c r="H34" s="30" t="s">
        <v>257</v>
      </c>
      <c r="I34" s="30">
        <v>153</v>
      </c>
      <c r="J34" s="30" t="s">
        <v>258</v>
      </c>
      <c r="K34" s="25" t="str">
        <f t="shared" si="4"/>
        <v>AR-5033</v>
      </c>
      <c r="L34" s="26">
        <f t="shared" si="5"/>
        <v>45839</v>
      </c>
      <c r="M34" s="26">
        <f t="shared" si="6"/>
        <v>45869</v>
      </c>
      <c r="N34" s="27">
        <f t="shared" si="7"/>
        <v>280000</v>
      </c>
      <c r="O34" s="27">
        <f t="shared" si="9"/>
        <v>280000</v>
      </c>
      <c r="P34" s="25">
        <f t="shared" ref="P34:P61" si="10">MAX(0,N34-O34)</f>
        <v>0</v>
      </c>
      <c r="Q34" s="25">
        <f t="shared" ref="Q34:Q61" ca="1" si="11">IF(P34=0,0,MAX(0,TODAY()-M34))</f>
        <v>0</v>
      </c>
      <c r="R34" s="25" t="str">
        <f t="shared" ref="R34:R61" si="12">IF(P34=0,"Paid",IF(Q34&lt;=30,"0-30",IF(Q34&lt;=60,"31-60",IF(Q34&lt;=90,"61-90","90+"))))</f>
        <v>Paid</v>
      </c>
      <c r="S34" s="25" t="str">
        <f t="shared" ref="S34:S61" si="13">IF(P34=0,"Paid",IF(Q34&gt;90,"Critical",IF(Q34&gt;60,"Overdue","Open")))</f>
        <v>Paid</v>
      </c>
    </row>
    <row r="35" spans="1:19" x14ac:dyDescent="0.25">
      <c r="A35" s="30" t="s">
        <v>291</v>
      </c>
      <c r="B35" s="30" t="s">
        <v>68</v>
      </c>
      <c r="C35" s="31">
        <v>45839</v>
      </c>
      <c r="D35" s="31">
        <v>45869</v>
      </c>
      <c r="E35" s="32">
        <v>315000</v>
      </c>
      <c r="F35" s="32">
        <v>0</v>
      </c>
      <c r="G35" s="32">
        <v>315000</v>
      </c>
      <c r="H35" s="30" t="s">
        <v>262</v>
      </c>
      <c r="I35" s="30">
        <v>153</v>
      </c>
      <c r="J35" s="30" t="s">
        <v>258</v>
      </c>
      <c r="K35" s="25" t="str">
        <f t="shared" si="4"/>
        <v>AR-5034</v>
      </c>
      <c r="L35" s="26">
        <f t="shared" si="5"/>
        <v>45839</v>
      </c>
      <c r="M35" s="26">
        <f t="shared" si="6"/>
        <v>45869</v>
      </c>
      <c r="N35" s="27">
        <f t="shared" si="7"/>
        <v>315000</v>
      </c>
      <c r="O35" s="27">
        <f t="shared" si="9"/>
        <v>315000</v>
      </c>
      <c r="P35" s="25">
        <f t="shared" si="10"/>
        <v>0</v>
      </c>
      <c r="Q35" s="25">
        <f t="shared" ca="1" si="11"/>
        <v>0</v>
      </c>
      <c r="R35" s="25" t="str">
        <f t="shared" si="12"/>
        <v>Paid</v>
      </c>
      <c r="S35" s="25" t="str">
        <f t="shared" si="13"/>
        <v>Paid</v>
      </c>
    </row>
    <row r="36" spans="1:19" x14ac:dyDescent="0.25">
      <c r="A36" s="30" t="s">
        <v>292</v>
      </c>
      <c r="B36" s="30" t="s">
        <v>61</v>
      </c>
      <c r="C36" s="31">
        <v>45839</v>
      </c>
      <c r="D36" s="31">
        <v>45869</v>
      </c>
      <c r="E36" s="32">
        <v>350000</v>
      </c>
      <c r="F36" s="32">
        <v>350000</v>
      </c>
      <c r="G36" s="32">
        <v>0</v>
      </c>
      <c r="H36" s="30" t="s">
        <v>254</v>
      </c>
      <c r="I36" s="30">
        <v>0</v>
      </c>
      <c r="J36" s="30" t="s">
        <v>255</v>
      </c>
      <c r="K36" s="25" t="str">
        <f t="shared" si="4"/>
        <v>AR-5035</v>
      </c>
      <c r="L36" s="26">
        <f t="shared" si="5"/>
        <v>45839</v>
      </c>
      <c r="M36" s="26">
        <f t="shared" si="6"/>
        <v>45869</v>
      </c>
      <c r="N36" s="27">
        <f t="shared" si="7"/>
        <v>350000</v>
      </c>
      <c r="O36" s="27">
        <f t="shared" si="9"/>
        <v>350000</v>
      </c>
      <c r="P36" s="25">
        <f t="shared" si="10"/>
        <v>0</v>
      </c>
      <c r="Q36" s="25">
        <f t="shared" ca="1" si="11"/>
        <v>0</v>
      </c>
      <c r="R36" s="25" t="str">
        <f t="shared" si="12"/>
        <v>Paid</v>
      </c>
      <c r="S36" s="25" t="str">
        <f t="shared" si="13"/>
        <v>Paid</v>
      </c>
    </row>
    <row r="37" spans="1:19" x14ac:dyDescent="0.25">
      <c r="A37" s="30" t="s">
        <v>293</v>
      </c>
      <c r="B37" s="30" t="s">
        <v>66</v>
      </c>
      <c r="C37" s="31">
        <v>45870</v>
      </c>
      <c r="D37" s="31">
        <v>45900</v>
      </c>
      <c r="E37" s="32">
        <v>220000</v>
      </c>
      <c r="F37" s="32">
        <v>132000</v>
      </c>
      <c r="G37" s="32">
        <v>88000</v>
      </c>
      <c r="H37" s="30" t="s">
        <v>257</v>
      </c>
      <c r="I37" s="30">
        <v>122</v>
      </c>
      <c r="J37" s="30" t="s">
        <v>258</v>
      </c>
      <c r="K37" s="25" t="str">
        <f t="shared" si="4"/>
        <v>AR-5036</v>
      </c>
      <c r="L37" s="26">
        <f t="shared" si="5"/>
        <v>45870</v>
      </c>
      <c r="M37" s="26">
        <f t="shared" si="6"/>
        <v>45900</v>
      </c>
      <c r="N37" s="27">
        <f t="shared" si="7"/>
        <v>220000</v>
      </c>
      <c r="O37" s="27">
        <f t="shared" si="9"/>
        <v>220000</v>
      </c>
      <c r="P37" s="25">
        <f t="shared" si="10"/>
        <v>0</v>
      </c>
      <c r="Q37" s="25">
        <f t="shared" ca="1" si="11"/>
        <v>0</v>
      </c>
      <c r="R37" s="25" t="str">
        <f t="shared" si="12"/>
        <v>Paid</v>
      </c>
      <c r="S37" s="25" t="str">
        <f t="shared" si="13"/>
        <v>Paid</v>
      </c>
    </row>
    <row r="38" spans="1:19" x14ac:dyDescent="0.25">
      <c r="A38" s="30" t="s">
        <v>294</v>
      </c>
      <c r="B38" s="30" t="s">
        <v>57</v>
      </c>
      <c r="C38" s="31">
        <v>45870</v>
      </c>
      <c r="D38" s="31">
        <v>45900</v>
      </c>
      <c r="E38" s="32">
        <v>255000</v>
      </c>
      <c r="F38" s="32">
        <v>76500</v>
      </c>
      <c r="G38" s="32">
        <v>178500</v>
      </c>
      <c r="H38" s="30" t="s">
        <v>257</v>
      </c>
      <c r="I38" s="30">
        <v>122</v>
      </c>
      <c r="J38" s="30" t="s">
        <v>258</v>
      </c>
      <c r="K38" s="25" t="str">
        <f t="shared" si="4"/>
        <v>AR-5037</v>
      </c>
      <c r="L38" s="26">
        <f t="shared" si="5"/>
        <v>45870</v>
      </c>
      <c r="M38" s="26">
        <f t="shared" si="6"/>
        <v>45900</v>
      </c>
      <c r="N38" s="27">
        <f t="shared" si="7"/>
        <v>255000</v>
      </c>
      <c r="O38" s="27">
        <f t="shared" si="9"/>
        <v>255000</v>
      </c>
      <c r="P38" s="25">
        <f t="shared" si="10"/>
        <v>0</v>
      </c>
      <c r="Q38" s="25">
        <f t="shared" ca="1" si="11"/>
        <v>0</v>
      </c>
      <c r="R38" s="25" t="str">
        <f t="shared" si="12"/>
        <v>Paid</v>
      </c>
      <c r="S38" s="25" t="str">
        <f t="shared" si="13"/>
        <v>Paid</v>
      </c>
    </row>
    <row r="39" spans="1:19" x14ac:dyDescent="0.25">
      <c r="A39" s="30" t="s">
        <v>295</v>
      </c>
      <c r="B39" s="30" t="s">
        <v>68</v>
      </c>
      <c r="C39" s="31">
        <v>45870</v>
      </c>
      <c r="D39" s="31">
        <v>45900</v>
      </c>
      <c r="E39" s="32">
        <v>290000</v>
      </c>
      <c r="F39" s="32">
        <v>0</v>
      </c>
      <c r="G39" s="32">
        <v>290000</v>
      </c>
      <c r="H39" s="30" t="s">
        <v>262</v>
      </c>
      <c r="I39" s="30">
        <v>122</v>
      </c>
      <c r="J39" s="30" t="s">
        <v>258</v>
      </c>
      <c r="K39" s="25" t="str">
        <f t="shared" si="4"/>
        <v>AR-5038</v>
      </c>
      <c r="L39" s="26">
        <f t="shared" si="5"/>
        <v>45870</v>
      </c>
      <c r="M39" s="26">
        <f t="shared" si="6"/>
        <v>45900</v>
      </c>
      <c r="N39" s="27">
        <f t="shared" si="7"/>
        <v>290000</v>
      </c>
      <c r="O39" s="27">
        <f t="shared" si="9"/>
        <v>290000</v>
      </c>
      <c r="P39" s="25">
        <f t="shared" si="10"/>
        <v>0</v>
      </c>
      <c r="Q39" s="25">
        <f t="shared" ca="1" si="11"/>
        <v>0</v>
      </c>
      <c r="R39" s="25" t="str">
        <f t="shared" si="12"/>
        <v>Paid</v>
      </c>
      <c r="S39" s="25" t="str">
        <f t="shared" si="13"/>
        <v>Paid</v>
      </c>
    </row>
    <row r="40" spans="1:19" x14ac:dyDescent="0.25">
      <c r="A40" s="30" t="s">
        <v>296</v>
      </c>
      <c r="B40" s="30" t="s">
        <v>61</v>
      </c>
      <c r="C40" s="31">
        <v>45870</v>
      </c>
      <c r="D40" s="31">
        <v>45900</v>
      </c>
      <c r="E40" s="32">
        <v>325000</v>
      </c>
      <c r="F40" s="32">
        <v>325000</v>
      </c>
      <c r="G40" s="32">
        <v>0</v>
      </c>
      <c r="H40" s="30" t="s">
        <v>254</v>
      </c>
      <c r="I40" s="30">
        <v>0</v>
      </c>
      <c r="J40" s="30" t="s">
        <v>255</v>
      </c>
      <c r="K40" s="25" t="str">
        <f t="shared" si="4"/>
        <v>AR-5039</v>
      </c>
      <c r="L40" s="26">
        <f t="shared" si="5"/>
        <v>45870</v>
      </c>
      <c r="M40" s="26">
        <f t="shared" si="6"/>
        <v>45900</v>
      </c>
      <c r="N40" s="27">
        <f t="shared" si="7"/>
        <v>325000</v>
      </c>
      <c r="O40" s="27">
        <f t="shared" si="9"/>
        <v>325000</v>
      </c>
      <c r="P40" s="25">
        <f t="shared" si="10"/>
        <v>0</v>
      </c>
      <c r="Q40" s="25">
        <f t="shared" ca="1" si="11"/>
        <v>0</v>
      </c>
      <c r="R40" s="25" t="str">
        <f t="shared" si="12"/>
        <v>Paid</v>
      </c>
      <c r="S40" s="25" t="str">
        <f t="shared" si="13"/>
        <v>Paid</v>
      </c>
    </row>
    <row r="41" spans="1:19" x14ac:dyDescent="0.25">
      <c r="A41" s="30" t="s">
        <v>297</v>
      </c>
      <c r="B41" s="30" t="s">
        <v>70</v>
      </c>
      <c r="C41" s="31">
        <v>45870</v>
      </c>
      <c r="D41" s="31">
        <v>45900</v>
      </c>
      <c r="E41" s="32">
        <v>360000</v>
      </c>
      <c r="F41" s="32">
        <v>306000</v>
      </c>
      <c r="G41" s="32">
        <v>54000</v>
      </c>
      <c r="H41" s="30" t="s">
        <v>257</v>
      </c>
      <c r="I41" s="30">
        <v>122</v>
      </c>
      <c r="J41" s="30" t="s">
        <v>258</v>
      </c>
      <c r="K41" s="25" t="str">
        <f t="shared" si="4"/>
        <v>AR-5040</v>
      </c>
      <c r="L41" s="26">
        <f t="shared" si="5"/>
        <v>45870</v>
      </c>
      <c r="M41" s="26">
        <f t="shared" si="6"/>
        <v>45900</v>
      </c>
      <c r="N41" s="27">
        <f t="shared" si="7"/>
        <v>360000</v>
      </c>
      <c r="O41" s="27">
        <f t="shared" si="9"/>
        <v>360000</v>
      </c>
      <c r="P41" s="25">
        <f t="shared" si="10"/>
        <v>0</v>
      </c>
      <c r="Q41" s="25">
        <f t="shared" ca="1" si="11"/>
        <v>0</v>
      </c>
      <c r="R41" s="25" t="str">
        <f t="shared" si="12"/>
        <v>Paid</v>
      </c>
      <c r="S41" s="25" t="str">
        <f t="shared" si="13"/>
        <v>Paid</v>
      </c>
    </row>
    <row r="42" spans="1:19" x14ac:dyDescent="0.25">
      <c r="A42" s="30" t="s">
        <v>298</v>
      </c>
      <c r="B42" s="30" t="s">
        <v>57</v>
      </c>
      <c r="C42" s="31">
        <v>45901</v>
      </c>
      <c r="D42" s="31">
        <v>45931</v>
      </c>
      <c r="E42" s="32">
        <v>230000</v>
      </c>
      <c r="F42" s="32">
        <v>69000</v>
      </c>
      <c r="G42" s="32">
        <v>161000</v>
      </c>
      <c r="H42" s="30" t="s">
        <v>257</v>
      </c>
      <c r="I42" s="30">
        <v>91</v>
      </c>
      <c r="J42" s="30" t="s">
        <v>258</v>
      </c>
      <c r="K42" s="25" t="str">
        <f t="shared" si="4"/>
        <v>AR-5041</v>
      </c>
      <c r="L42" s="26">
        <f t="shared" si="5"/>
        <v>45901</v>
      </c>
      <c r="M42" s="26">
        <f t="shared" si="6"/>
        <v>45931</v>
      </c>
      <c r="N42" s="27">
        <f t="shared" si="7"/>
        <v>230000</v>
      </c>
      <c r="O42" s="27">
        <f t="shared" si="9"/>
        <v>230000</v>
      </c>
      <c r="P42" s="25">
        <f t="shared" si="10"/>
        <v>0</v>
      </c>
      <c r="Q42" s="25">
        <f t="shared" ca="1" si="11"/>
        <v>0</v>
      </c>
      <c r="R42" s="25" t="str">
        <f t="shared" si="12"/>
        <v>Paid</v>
      </c>
      <c r="S42" s="25" t="str">
        <f t="shared" si="13"/>
        <v>Paid</v>
      </c>
    </row>
    <row r="43" spans="1:19" x14ac:dyDescent="0.25">
      <c r="A43" s="30" t="s">
        <v>299</v>
      </c>
      <c r="B43" s="30" t="s">
        <v>68</v>
      </c>
      <c r="C43" s="31">
        <v>45901</v>
      </c>
      <c r="D43" s="31">
        <v>45931</v>
      </c>
      <c r="E43" s="32">
        <v>265000</v>
      </c>
      <c r="F43" s="32">
        <v>0</v>
      </c>
      <c r="G43" s="32">
        <v>265000</v>
      </c>
      <c r="H43" s="30" t="s">
        <v>262</v>
      </c>
      <c r="I43" s="30">
        <v>91</v>
      </c>
      <c r="J43" s="30" t="s">
        <v>258</v>
      </c>
      <c r="K43" s="25" t="str">
        <f t="shared" si="4"/>
        <v>AR-5042</v>
      </c>
      <c r="L43" s="26">
        <f t="shared" si="5"/>
        <v>45901</v>
      </c>
      <c r="M43" s="26">
        <f t="shared" si="6"/>
        <v>45931</v>
      </c>
      <c r="N43" s="27">
        <f t="shared" si="7"/>
        <v>265000</v>
      </c>
      <c r="O43" s="27">
        <f t="shared" si="9"/>
        <v>265000</v>
      </c>
      <c r="P43" s="25">
        <f t="shared" si="10"/>
        <v>0</v>
      </c>
      <c r="Q43" s="25">
        <f t="shared" ca="1" si="11"/>
        <v>0</v>
      </c>
      <c r="R43" s="25" t="str">
        <f t="shared" si="12"/>
        <v>Paid</v>
      </c>
      <c r="S43" s="25" t="str">
        <f t="shared" si="13"/>
        <v>Paid</v>
      </c>
    </row>
    <row r="44" spans="1:19" x14ac:dyDescent="0.25">
      <c r="A44" s="30" t="s">
        <v>300</v>
      </c>
      <c r="B44" s="30" t="s">
        <v>61</v>
      </c>
      <c r="C44" s="31">
        <v>45901</v>
      </c>
      <c r="D44" s="31">
        <v>45931</v>
      </c>
      <c r="E44" s="32">
        <v>300000</v>
      </c>
      <c r="F44" s="32">
        <v>300000</v>
      </c>
      <c r="G44" s="32">
        <v>0</v>
      </c>
      <c r="H44" s="30" t="s">
        <v>254</v>
      </c>
      <c r="I44" s="30">
        <v>0</v>
      </c>
      <c r="J44" s="30" t="s">
        <v>255</v>
      </c>
      <c r="K44" s="25" t="str">
        <f t="shared" si="4"/>
        <v>AR-5043</v>
      </c>
      <c r="L44" s="26">
        <f t="shared" si="5"/>
        <v>45901</v>
      </c>
      <c r="M44" s="26">
        <f t="shared" si="6"/>
        <v>45931</v>
      </c>
      <c r="N44" s="27">
        <f t="shared" si="7"/>
        <v>300000</v>
      </c>
      <c r="O44" s="27">
        <f t="shared" si="9"/>
        <v>300000</v>
      </c>
      <c r="P44" s="25">
        <f t="shared" si="10"/>
        <v>0</v>
      </c>
      <c r="Q44" s="25">
        <f t="shared" ca="1" si="11"/>
        <v>0</v>
      </c>
      <c r="R44" s="25" t="str">
        <f t="shared" si="12"/>
        <v>Paid</v>
      </c>
      <c r="S44" s="25" t="str">
        <f t="shared" si="13"/>
        <v>Paid</v>
      </c>
    </row>
    <row r="45" spans="1:19" x14ac:dyDescent="0.25">
      <c r="A45" s="30" t="s">
        <v>301</v>
      </c>
      <c r="B45" s="30" t="s">
        <v>70</v>
      </c>
      <c r="C45" s="31">
        <v>45901</v>
      </c>
      <c r="D45" s="31">
        <v>45931</v>
      </c>
      <c r="E45" s="32">
        <v>335000</v>
      </c>
      <c r="F45" s="32">
        <v>284800</v>
      </c>
      <c r="G45" s="32">
        <v>50200</v>
      </c>
      <c r="H45" s="30" t="s">
        <v>257</v>
      </c>
      <c r="I45" s="30">
        <v>91</v>
      </c>
      <c r="J45" s="30" t="s">
        <v>258</v>
      </c>
      <c r="K45" s="25" t="str">
        <f t="shared" si="4"/>
        <v>AR-5044</v>
      </c>
      <c r="L45" s="26">
        <f t="shared" si="5"/>
        <v>45901</v>
      </c>
      <c r="M45" s="26">
        <f t="shared" si="6"/>
        <v>45931</v>
      </c>
      <c r="N45" s="27">
        <f t="shared" si="7"/>
        <v>335000</v>
      </c>
      <c r="O45" s="27">
        <f t="shared" si="9"/>
        <v>335000</v>
      </c>
      <c r="P45" s="25">
        <f t="shared" si="10"/>
        <v>0</v>
      </c>
      <c r="Q45" s="25">
        <f t="shared" ca="1" si="11"/>
        <v>0</v>
      </c>
      <c r="R45" s="25" t="str">
        <f t="shared" si="12"/>
        <v>Paid</v>
      </c>
      <c r="S45" s="25" t="str">
        <f t="shared" si="13"/>
        <v>Paid</v>
      </c>
    </row>
    <row r="46" spans="1:19" x14ac:dyDescent="0.25">
      <c r="A46" s="30" t="s">
        <v>302</v>
      </c>
      <c r="B46" s="30" t="s">
        <v>52</v>
      </c>
      <c r="C46" s="31">
        <v>45901</v>
      </c>
      <c r="D46" s="31">
        <v>45931</v>
      </c>
      <c r="E46" s="32">
        <v>370000</v>
      </c>
      <c r="F46" s="32">
        <v>222000</v>
      </c>
      <c r="G46" s="32">
        <v>148000</v>
      </c>
      <c r="H46" s="30" t="s">
        <v>257</v>
      </c>
      <c r="I46" s="30">
        <v>91</v>
      </c>
      <c r="J46" s="30" t="s">
        <v>258</v>
      </c>
      <c r="K46" s="25" t="str">
        <f t="shared" si="4"/>
        <v>AR-5045</v>
      </c>
      <c r="L46" s="26">
        <f t="shared" si="5"/>
        <v>45901</v>
      </c>
      <c r="M46" s="26">
        <f t="shared" si="6"/>
        <v>45931</v>
      </c>
      <c r="N46" s="27">
        <f t="shared" si="7"/>
        <v>370000</v>
      </c>
      <c r="O46" s="27">
        <f t="shared" si="9"/>
        <v>370000</v>
      </c>
      <c r="P46" s="25">
        <f t="shared" si="10"/>
        <v>0</v>
      </c>
      <c r="Q46" s="25">
        <f t="shared" ca="1" si="11"/>
        <v>0</v>
      </c>
      <c r="R46" s="25" t="str">
        <f t="shared" si="12"/>
        <v>Paid</v>
      </c>
      <c r="S46" s="25" t="str">
        <f t="shared" si="13"/>
        <v>Paid</v>
      </c>
    </row>
    <row r="47" spans="1:19" x14ac:dyDescent="0.25">
      <c r="A47" s="30" t="s">
        <v>303</v>
      </c>
      <c r="B47" s="30" t="s">
        <v>68</v>
      </c>
      <c r="C47" s="31">
        <v>45931</v>
      </c>
      <c r="D47" s="31">
        <v>45961</v>
      </c>
      <c r="E47" s="32">
        <v>240000</v>
      </c>
      <c r="F47" s="32">
        <v>0</v>
      </c>
      <c r="G47" s="32">
        <v>240000</v>
      </c>
      <c r="H47" s="30" t="s">
        <v>262</v>
      </c>
      <c r="I47" s="30">
        <v>61</v>
      </c>
      <c r="J47" s="30" t="s">
        <v>304</v>
      </c>
      <c r="K47" s="25" t="str">
        <f t="shared" si="4"/>
        <v>AR-5046</v>
      </c>
      <c r="L47" s="26">
        <f t="shared" si="5"/>
        <v>45931</v>
      </c>
      <c r="M47" s="26">
        <f t="shared" si="6"/>
        <v>45961</v>
      </c>
      <c r="N47" s="27">
        <f t="shared" si="7"/>
        <v>240000</v>
      </c>
      <c r="O47" s="27">
        <f t="shared" si="9"/>
        <v>240000</v>
      </c>
      <c r="P47" s="25">
        <f t="shared" si="10"/>
        <v>0</v>
      </c>
      <c r="Q47" s="25">
        <f t="shared" ca="1" si="11"/>
        <v>0</v>
      </c>
      <c r="R47" s="25" t="str">
        <f t="shared" si="12"/>
        <v>Paid</v>
      </c>
      <c r="S47" s="25" t="str">
        <f t="shared" si="13"/>
        <v>Paid</v>
      </c>
    </row>
    <row r="48" spans="1:19" x14ac:dyDescent="0.25">
      <c r="A48" s="30" t="s">
        <v>305</v>
      </c>
      <c r="B48" s="30" t="s">
        <v>61</v>
      </c>
      <c r="C48" s="31">
        <v>45931</v>
      </c>
      <c r="D48" s="31">
        <v>45961</v>
      </c>
      <c r="E48" s="32">
        <v>275000</v>
      </c>
      <c r="F48" s="32">
        <v>275000</v>
      </c>
      <c r="G48" s="32">
        <v>0</v>
      </c>
      <c r="H48" s="30" t="s">
        <v>254</v>
      </c>
      <c r="I48" s="30">
        <v>0</v>
      </c>
      <c r="J48" s="30" t="s">
        <v>255</v>
      </c>
      <c r="K48" s="25" t="str">
        <f t="shared" si="4"/>
        <v>AR-5047</v>
      </c>
      <c r="L48" s="26">
        <f t="shared" si="5"/>
        <v>45931</v>
      </c>
      <c r="M48" s="26">
        <f t="shared" si="6"/>
        <v>45961</v>
      </c>
      <c r="N48" s="27">
        <f t="shared" si="7"/>
        <v>275000</v>
      </c>
      <c r="O48" s="27">
        <f t="shared" si="9"/>
        <v>275000</v>
      </c>
      <c r="P48" s="25">
        <f t="shared" si="10"/>
        <v>0</v>
      </c>
      <c r="Q48" s="25">
        <f t="shared" ca="1" si="11"/>
        <v>0</v>
      </c>
      <c r="R48" s="25" t="str">
        <f t="shared" si="12"/>
        <v>Paid</v>
      </c>
      <c r="S48" s="25" t="str">
        <f t="shared" si="13"/>
        <v>Paid</v>
      </c>
    </row>
    <row r="49" spans="1:19" x14ac:dyDescent="0.25">
      <c r="A49" s="30" t="s">
        <v>306</v>
      </c>
      <c r="B49" s="30" t="s">
        <v>70</v>
      </c>
      <c r="C49" s="31">
        <v>45931</v>
      </c>
      <c r="D49" s="31">
        <v>45961</v>
      </c>
      <c r="E49" s="32">
        <v>310000</v>
      </c>
      <c r="F49" s="32">
        <v>263500</v>
      </c>
      <c r="G49" s="32">
        <v>46500</v>
      </c>
      <c r="H49" s="30" t="s">
        <v>257</v>
      </c>
      <c r="I49" s="30">
        <v>61</v>
      </c>
      <c r="J49" s="30" t="s">
        <v>304</v>
      </c>
      <c r="K49" s="25" t="str">
        <f t="shared" si="4"/>
        <v>AR-5048</v>
      </c>
      <c r="L49" s="26">
        <f t="shared" si="5"/>
        <v>45931</v>
      </c>
      <c r="M49" s="26">
        <f t="shared" si="6"/>
        <v>45961</v>
      </c>
      <c r="N49" s="27">
        <f t="shared" si="7"/>
        <v>310000</v>
      </c>
      <c r="O49" s="27">
        <f t="shared" si="9"/>
        <v>310000</v>
      </c>
      <c r="P49" s="25">
        <f t="shared" si="10"/>
        <v>0</v>
      </c>
      <c r="Q49" s="25">
        <f t="shared" ca="1" si="11"/>
        <v>0</v>
      </c>
      <c r="R49" s="25" t="str">
        <f t="shared" si="12"/>
        <v>Paid</v>
      </c>
      <c r="S49" s="25" t="str">
        <f t="shared" si="13"/>
        <v>Paid</v>
      </c>
    </row>
    <row r="50" spans="1:19" x14ac:dyDescent="0.25">
      <c r="A50" s="30" t="s">
        <v>307</v>
      </c>
      <c r="B50" s="30" t="s">
        <v>52</v>
      </c>
      <c r="C50" s="31">
        <v>45931</v>
      </c>
      <c r="D50" s="31">
        <v>45961</v>
      </c>
      <c r="E50" s="32">
        <v>345000</v>
      </c>
      <c r="F50" s="32">
        <v>207000</v>
      </c>
      <c r="G50" s="32">
        <v>138000</v>
      </c>
      <c r="H50" s="30" t="s">
        <v>257</v>
      </c>
      <c r="I50" s="30">
        <v>61</v>
      </c>
      <c r="J50" s="30" t="s">
        <v>304</v>
      </c>
      <c r="K50" s="25" t="str">
        <f t="shared" si="4"/>
        <v>AR-5049</v>
      </c>
      <c r="L50" s="26">
        <f t="shared" si="5"/>
        <v>45931</v>
      </c>
      <c r="M50" s="26">
        <f t="shared" si="6"/>
        <v>45961</v>
      </c>
      <c r="N50" s="27">
        <f t="shared" si="7"/>
        <v>345000</v>
      </c>
      <c r="O50" s="27">
        <f t="shared" si="9"/>
        <v>345000</v>
      </c>
      <c r="P50" s="25">
        <f t="shared" si="10"/>
        <v>0</v>
      </c>
      <c r="Q50" s="25">
        <f t="shared" ca="1" si="11"/>
        <v>0</v>
      </c>
      <c r="R50" s="25" t="str">
        <f t="shared" si="12"/>
        <v>Paid</v>
      </c>
      <c r="S50" s="25" t="str">
        <f t="shared" si="13"/>
        <v>Paid</v>
      </c>
    </row>
    <row r="51" spans="1:19" x14ac:dyDescent="0.25">
      <c r="A51" s="30" t="s">
        <v>308</v>
      </c>
      <c r="B51" s="30" t="s">
        <v>66</v>
      </c>
      <c r="C51" s="31">
        <v>45931</v>
      </c>
      <c r="D51" s="31">
        <v>45961</v>
      </c>
      <c r="E51" s="32">
        <v>380000</v>
      </c>
      <c r="F51" s="32">
        <v>114000</v>
      </c>
      <c r="G51" s="32">
        <v>266000</v>
      </c>
      <c r="H51" s="30" t="s">
        <v>257</v>
      </c>
      <c r="I51" s="30">
        <v>61</v>
      </c>
      <c r="J51" s="30" t="s">
        <v>304</v>
      </c>
      <c r="K51" s="25" t="str">
        <f t="shared" si="4"/>
        <v>AR-5050</v>
      </c>
      <c r="L51" s="26">
        <f t="shared" si="5"/>
        <v>45931</v>
      </c>
      <c r="M51" s="26">
        <f t="shared" si="6"/>
        <v>45961</v>
      </c>
      <c r="N51" s="27">
        <f t="shared" si="7"/>
        <v>380000</v>
      </c>
      <c r="O51" s="27">
        <f t="shared" si="9"/>
        <v>380000</v>
      </c>
      <c r="P51" s="25">
        <f t="shared" si="10"/>
        <v>0</v>
      </c>
      <c r="Q51" s="25">
        <f t="shared" ca="1" si="11"/>
        <v>0</v>
      </c>
      <c r="R51" s="25" t="str">
        <f t="shared" si="12"/>
        <v>Paid</v>
      </c>
      <c r="S51" s="25" t="str">
        <f t="shared" si="13"/>
        <v>Paid</v>
      </c>
    </row>
    <row r="52" spans="1:19" x14ac:dyDescent="0.25">
      <c r="A52" s="30" t="s">
        <v>309</v>
      </c>
      <c r="B52" s="30" t="s">
        <v>61</v>
      </c>
      <c r="C52" s="31">
        <v>45962</v>
      </c>
      <c r="D52" s="31">
        <v>45992</v>
      </c>
      <c r="E52" s="32">
        <v>250000</v>
      </c>
      <c r="F52" s="32">
        <v>250000</v>
      </c>
      <c r="G52" s="32">
        <v>0</v>
      </c>
      <c r="H52" s="30" t="s">
        <v>254</v>
      </c>
      <c r="I52" s="30">
        <v>0</v>
      </c>
      <c r="J52" s="30" t="s">
        <v>255</v>
      </c>
      <c r="K52" s="25" t="str">
        <f t="shared" si="4"/>
        <v>AR-5051</v>
      </c>
      <c r="L52" s="26">
        <f t="shared" si="5"/>
        <v>45962</v>
      </c>
      <c r="M52" s="26">
        <f t="shared" si="6"/>
        <v>45992</v>
      </c>
      <c r="N52" s="27">
        <f t="shared" si="7"/>
        <v>250000</v>
      </c>
      <c r="O52" s="27">
        <f t="shared" si="9"/>
        <v>250000</v>
      </c>
      <c r="P52" s="25">
        <f t="shared" si="10"/>
        <v>0</v>
      </c>
      <c r="Q52" s="25">
        <f t="shared" ca="1" si="11"/>
        <v>0</v>
      </c>
      <c r="R52" s="25" t="str">
        <f t="shared" si="12"/>
        <v>Paid</v>
      </c>
      <c r="S52" s="25" t="str">
        <f t="shared" si="13"/>
        <v>Paid</v>
      </c>
    </row>
    <row r="53" spans="1:19" x14ac:dyDescent="0.25">
      <c r="A53" s="30" t="s">
        <v>310</v>
      </c>
      <c r="B53" s="30" t="s">
        <v>70</v>
      </c>
      <c r="C53" s="31">
        <v>45962</v>
      </c>
      <c r="D53" s="31">
        <v>45992</v>
      </c>
      <c r="E53" s="32">
        <v>285000</v>
      </c>
      <c r="F53" s="32">
        <v>242200</v>
      </c>
      <c r="G53" s="32">
        <v>42800</v>
      </c>
      <c r="H53" s="30" t="s">
        <v>257</v>
      </c>
      <c r="I53" s="30">
        <v>30</v>
      </c>
      <c r="J53" s="30" t="s">
        <v>255</v>
      </c>
      <c r="K53" s="25" t="str">
        <f t="shared" si="4"/>
        <v>AR-5052</v>
      </c>
      <c r="L53" s="26">
        <f t="shared" si="5"/>
        <v>45962</v>
      </c>
      <c r="M53" s="26">
        <f t="shared" si="6"/>
        <v>45992</v>
      </c>
      <c r="N53" s="27">
        <f t="shared" si="7"/>
        <v>285000</v>
      </c>
      <c r="O53" s="27">
        <f t="shared" si="9"/>
        <v>285000</v>
      </c>
      <c r="P53" s="25">
        <f t="shared" si="10"/>
        <v>0</v>
      </c>
      <c r="Q53" s="25">
        <f t="shared" ca="1" si="11"/>
        <v>0</v>
      </c>
      <c r="R53" s="25" t="str">
        <f t="shared" si="12"/>
        <v>Paid</v>
      </c>
      <c r="S53" s="25" t="str">
        <f t="shared" si="13"/>
        <v>Paid</v>
      </c>
    </row>
    <row r="54" spans="1:19" x14ac:dyDescent="0.25">
      <c r="A54" s="30" t="s">
        <v>311</v>
      </c>
      <c r="B54" s="30" t="s">
        <v>52</v>
      </c>
      <c r="C54" s="31">
        <v>45962</v>
      </c>
      <c r="D54" s="31">
        <v>45992</v>
      </c>
      <c r="E54" s="32">
        <v>320000</v>
      </c>
      <c r="F54" s="32">
        <v>192000</v>
      </c>
      <c r="G54" s="32">
        <v>128000</v>
      </c>
      <c r="H54" s="30" t="s">
        <v>257</v>
      </c>
      <c r="I54" s="30">
        <v>30</v>
      </c>
      <c r="J54" s="30" t="s">
        <v>255</v>
      </c>
      <c r="K54" s="25" t="str">
        <f t="shared" si="4"/>
        <v>AR-5053</v>
      </c>
      <c r="L54" s="26">
        <f t="shared" si="5"/>
        <v>45962</v>
      </c>
      <c r="M54" s="26">
        <f t="shared" si="6"/>
        <v>45992</v>
      </c>
      <c r="N54" s="27">
        <f t="shared" si="7"/>
        <v>320000</v>
      </c>
      <c r="O54" s="27">
        <f t="shared" si="9"/>
        <v>320000</v>
      </c>
      <c r="P54" s="25">
        <f t="shared" si="10"/>
        <v>0</v>
      </c>
      <c r="Q54" s="25">
        <f t="shared" ca="1" si="11"/>
        <v>0</v>
      </c>
      <c r="R54" s="25" t="str">
        <f t="shared" si="12"/>
        <v>Paid</v>
      </c>
      <c r="S54" s="25" t="str">
        <f t="shared" si="13"/>
        <v>Paid</v>
      </c>
    </row>
    <row r="55" spans="1:19" x14ac:dyDescent="0.25">
      <c r="A55" s="30" t="s">
        <v>312</v>
      </c>
      <c r="B55" s="30" t="s">
        <v>66</v>
      </c>
      <c r="C55" s="31">
        <v>45962</v>
      </c>
      <c r="D55" s="31">
        <v>45992</v>
      </c>
      <c r="E55" s="32">
        <v>355000</v>
      </c>
      <c r="F55" s="32">
        <v>106500</v>
      </c>
      <c r="G55" s="32">
        <v>248500</v>
      </c>
      <c r="H55" s="30" t="s">
        <v>257</v>
      </c>
      <c r="I55" s="30">
        <v>30</v>
      </c>
      <c r="J55" s="30" t="s">
        <v>255</v>
      </c>
      <c r="K55" s="25" t="str">
        <f t="shared" si="4"/>
        <v>AR-5054</v>
      </c>
      <c r="L55" s="26">
        <f t="shared" si="5"/>
        <v>45962</v>
      </c>
      <c r="M55" s="26">
        <f t="shared" si="6"/>
        <v>45992</v>
      </c>
      <c r="N55" s="27">
        <f t="shared" si="7"/>
        <v>355000</v>
      </c>
      <c r="O55" s="27">
        <f t="shared" si="9"/>
        <v>355000</v>
      </c>
      <c r="P55" s="25">
        <f t="shared" si="10"/>
        <v>0</v>
      </c>
      <c r="Q55" s="25">
        <f t="shared" ca="1" si="11"/>
        <v>0</v>
      </c>
      <c r="R55" s="25" t="str">
        <f t="shared" si="12"/>
        <v>Paid</v>
      </c>
      <c r="S55" s="25" t="str">
        <f t="shared" si="13"/>
        <v>Paid</v>
      </c>
    </row>
    <row r="56" spans="1:19" x14ac:dyDescent="0.25">
      <c r="A56" s="30" t="s">
        <v>313</v>
      </c>
      <c r="B56" s="30" t="s">
        <v>57</v>
      </c>
      <c r="C56" s="31">
        <v>45962</v>
      </c>
      <c r="D56" s="31">
        <v>45992</v>
      </c>
      <c r="E56" s="32">
        <v>390000</v>
      </c>
      <c r="F56" s="32">
        <v>0</v>
      </c>
      <c r="G56" s="32">
        <v>390000</v>
      </c>
      <c r="H56" s="30" t="s">
        <v>262</v>
      </c>
      <c r="I56" s="30">
        <v>30</v>
      </c>
      <c r="J56" s="30" t="s">
        <v>255</v>
      </c>
      <c r="K56" s="25" t="str">
        <f t="shared" si="4"/>
        <v>AR-5055</v>
      </c>
      <c r="L56" s="26">
        <f t="shared" si="5"/>
        <v>45962</v>
      </c>
      <c r="M56" s="26">
        <f t="shared" si="6"/>
        <v>45992</v>
      </c>
      <c r="N56" s="27">
        <f t="shared" si="7"/>
        <v>390000</v>
      </c>
      <c r="O56" s="27">
        <f t="shared" si="9"/>
        <v>390000</v>
      </c>
      <c r="P56" s="25">
        <f t="shared" si="10"/>
        <v>0</v>
      </c>
      <c r="Q56" s="25">
        <f t="shared" ca="1" si="11"/>
        <v>0</v>
      </c>
      <c r="R56" s="25" t="str">
        <f t="shared" si="12"/>
        <v>Paid</v>
      </c>
      <c r="S56" s="25" t="str">
        <f t="shared" si="13"/>
        <v>Paid</v>
      </c>
    </row>
    <row r="57" spans="1:19" x14ac:dyDescent="0.25">
      <c r="A57" s="30" t="s">
        <v>314</v>
      </c>
      <c r="B57" s="30" t="s">
        <v>70</v>
      </c>
      <c r="C57" s="31">
        <v>45992</v>
      </c>
      <c r="D57" s="31">
        <v>46022</v>
      </c>
      <c r="E57" s="32">
        <v>260000</v>
      </c>
      <c r="F57" s="32">
        <v>221000</v>
      </c>
      <c r="G57" s="32">
        <v>39000</v>
      </c>
      <c r="H57" s="30" t="s">
        <v>257</v>
      </c>
      <c r="I57" s="30">
        <v>0</v>
      </c>
      <c r="J57" s="30" t="s">
        <v>255</v>
      </c>
      <c r="K57" s="25" t="str">
        <f t="shared" si="4"/>
        <v>AR-5056</v>
      </c>
      <c r="L57" s="26">
        <f t="shared" si="5"/>
        <v>45992</v>
      </c>
      <c r="M57" s="26">
        <f t="shared" si="6"/>
        <v>46022</v>
      </c>
      <c r="N57" s="27">
        <f t="shared" si="7"/>
        <v>260000</v>
      </c>
      <c r="O57" s="27">
        <f t="shared" si="9"/>
        <v>260000</v>
      </c>
      <c r="P57" s="25">
        <f t="shared" si="10"/>
        <v>0</v>
      </c>
      <c r="Q57" s="25">
        <f t="shared" ca="1" si="11"/>
        <v>0</v>
      </c>
      <c r="R57" s="25" t="str">
        <f t="shared" si="12"/>
        <v>Paid</v>
      </c>
      <c r="S57" s="25" t="str">
        <f t="shared" si="13"/>
        <v>Paid</v>
      </c>
    </row>
    <row r="58" spans="1:19" x14ac:dyDescent="0.25">
      <c r="A58" s="30" t="s">
        <v>315</v>
      </c>
      <c r="B58" s="30" t="s">
        <v>52</v>
      </c>
      <c r="C58" s="31">
        <v>45992</v>
      </c>
      <c r="D58" s="31">
        <v>46022</v>
      </c>
      <c r="E58" s="32">
        <v>295000</v>
      </c>
      <c r="F58" s="32">
        <v>177000</v>
      </c>
      <c r="G58" s="32">
        <v>118000</v>
      </c>
      <c r="H58" s="30" t="s">
        <v>257</v>
      </c>
      <c r="I58" s="30">
        <v>0</v>
      </c>
      <c r="J58" s="30" t="s">
        <v>255</v>
      </c>
      <c r="K58" s="25" t="str">
        <f t="shared" si="4"/>
        <v>AR-5057</v>
      </c>
      <c r="L58" s="26">
        <f t="shared" si="5"/>
        <v>45992</v>
      </c>
      <c r="M58" s="26">
        <f t="shared" si="6"/>
        <v>46022</v>
      </c>
      <c r="N58" s="27">
        <f t="shared" si="7"/>
        <v>295000</v>
      </c>
      <c r="O58" s="27">
        <f t="shared" si="9"/>
        <v>295000</v>
      </c>
      <c r="P58" s="25">
        <f t="shared" si="10"/>
        <v>0</v>
      </c>
      <c r="Q58" s="25">
        <f t="shared" ca="1" si="11"/>
        <v>0</v>
      </c>
      <c r="R58" s="25" t="str">
        <f t="shared" si="12"/>
        <v>Paid</v>
      </c>
      <c r="S58" s="25" t="str">
        <f t="shared" si="13"/>
        <v>Paid</v>
      </c>
    </row>
    <row r="59" spans="1:19" x14ac:dyDescent="0.25">
      <c r="A59" s="30" t="s">
        <v>316</v>
      </c>
      <c r="B59" s="30" t="s">
        <v>66</v>
      </c>
      <c r="C59" s="31">
        <v>45992</v>
      </c>
      <c r="D59" s="31">
        <v>46022</v>
      </c>
      <c r="E59" s="32">
        <v>330000</v>
      </c>
      <c r="F59" s="32">
        <v>99000</v>
      </c>
      <c r="G59" s="32">
        <v>231000</v>
      </c>
      <c r="H59" s="30" t="s">
        <v>257</v>
      </c>
      <c r="I59" s="30">
        <v>0</v>
      </c>
      <c r="J59" s="30" t="s">
        <v>255</v>
      </c>
      <c r="K59" s="25" t="str">
        <f t="shared" si="4"/>
        <v>AR-5058</v>
      </c>
      <c r="L59" s="26">
        <f t="shared" si="5"/>
        <v>45992</v>
      </c>
      <c r="M59" s="26">
        <f t="shared" si="6"/>
        <v>46022</v>
      </c>
      <c r="N59" s="27">
        <f t="shared" si="7"/>
        <v>330000</v>
      </c>
      <c r="O59" s="27">
        <f t="shared" si="9"/>
        <v>330000</v>
      </c>
      <c r="P59" s="25">
        <f t="shared" si="10"/>
        <v>0</v>
      </c>
      <c r="Q59" s="25">
        <f t="shared" ca="1" si="11"/>
        <v>0</v>
      </c>
      <c r="R59" s="25" t="str">
        <f t="shared" si="12"/>
        <v>Paid</v>
      </c>
      <c r="S59" s="25" t="str">
        <f t="shared" si="13"/>
        <v>Paid</v>
      </c>
    </row>
    <row r="60" spans="1:19" x14ac:dyDescent="0.25">
      <c r="A60" s="30" t="s">
        <v>317</v>
      </c>
      <c r="B60" s="30" t="s">
        <v>57</v>
      </c>
      <c r="C60" s="31">
        <v>45992</v>
      </c>
      <c r="D60" s="31">
        <v>46022</v>
      </c>
      <c r="E60" s="32">
        <v>365000</v>
      </c>
      <c r="F60" s="32">
        <v>0</v>
      </c>
      <c r="G60" s="32">
        <v>365000</v>
      </c>
      <c r="H60" s="30" t="s">
        <v>262</v>
      </c>
      <c r="I60" s="30">
        <v>0</v>
      </c>
      <c r="J60" s="30" t="s">
        <v>255</v>
      </c>
      <c r="K60" s="25" t="str">
        <f t="shared" si="4"/>
        <v>AR-5059</v>
      </c>
      <c r="L60" s="26">
        <f t="shared" si="5"/>
        <v>45992</v>
      </c>
      <c r="M60" s="26">
        <f t="shared" si="6"/>
        <v>46022</v>
      </c>
      <c r="N60" s="27">
        <f t="shared" si="7"/>
        <v>365000</v>
      </c>
      <c r="O60" s="27">
        <f t="shared" si="9"/>
        <v>365000</v>
      </c>
      <c r="P60" s="25">
        <f t="shared" si="10"/>
        <v>0</v>
      </c>
      <c r="Q60" s="25">
        <f t="shared" ca="1" si="11"/>
        <v>0</v>
      </c>
      <c r="R60" s="25" t="str">
        <f t="shared" si="12"/>
        <v>Paid</v>
      </c>
      <c r="S60" s="25" t="str">
        <f t="shared" si="13"/>
        <v>Paid</v>
      </c>
    </row>
    <row r="61" spans="1:19" x14ac:dyDescent="0.25">
      <c r="A61" s="30" t="s">
        <v>318</v>
      </c>
      <c r="B61" s="30" t="s">
        <v>68</v>
      </c>
      <c r="C61" s="31">
        <v>45992</v>
      </c>
      <c r="D61" s="31">
        <v>46022</v>
      </c>
      <c r="E61" s="32">
        <v>400000</v>
      </c>
      <c r="F61" s="32">
        <v>400000</v>
      </c>
      <c r="G61" s="32">
        <v>0</v>
      </c>
      <c r="H61" s="30" t="s">
        <v>254</v>
      </c>
      <c r="I61" s="30">
        <v>0</v>
      </c>
      <c r="J61" s="30" t="s">
        <v>255</v>
      </c>
      <c r="K61" s="25" t="str">
        <f t="shared" si="4"/>
        <v>AR-5060</v>
      </c>
      <c r="L61" s="26">
        <f t="shared" si="5"/>
        <v>45992</v>
      </c>
      <c r="M61" s="26">
        <f t="shared" si="6"/>
        <v>46022</v>
      </c>
      <c r="N61" s="27">
        <f t="shared" si="7"/>
        <v>400000</v>
      </c>
      <c r="O61" s="27">
        <f t="shared" si="9"/>
        <v>400000</v>
      </c>
      <c r="P61" s="25">
        <f t="shared" si="10"/>
        <v>0</v>
      </c>
      <c r="Q61" s="25">
        <f t="shared" ca="1" si="11"/>
        <v>0</v>
      </c>
      <c r="R61" s="25" t="str">
        <f t="shared" si="12"/>
        <v>Paid</v>
      </c>
      <c r="S61" s="25" t="str">
        <f t="shared" si="13"/>
        <v>Paid</v>
      </c>
    </row>
    <row r="62" spans="1:19" x14ac:dyDescent="0.25">
      <c r="M62" s="22"/>
      <c r="N62" s="1"/>
    </row>
    <row r="63" spans="1:19" x14ac:dyDescent="0.25">
      <c r="M63" s="22"/>
    </row>
    <row r="64" spans="1:19" ht="15.75" x14ac:dyDescent="0.25">
      <c r="A64" s="16" t="s">
        <v>319</v>
      </c>
    </row>
    <row r="65" spans="1:2" x14ac:dyDescent="0.25">
      <c r="A65" s="6" t="s">
        <v>320</v>
      </c>
      <c r="B65" s="7">
        <f>SUM(N2:N64)</f>
        <v>16500000</v>
      </c>
    </row>
    <row r="66" spans="1:2" x14ac:dyDescent="0.25">
      <c r="A66" s="6" t="s">
        <v>321</v>
      </c>
      <c r="B66" s="7">
        <f>SUM(O2:O64)</f>
        <v>16500000</v>
      </c>
    </row>
    <row r="67" spans="1:2" x14ac:dyDescent="0.25">
      <c r="A67" s="6" t="s">
        <v>322</v>
      </c>
      <c r="B67" s="7">
        <f>SUM(P2:P64)</f>
        <v>0</v>
      </c>
    </row>
    <row r="68" spans="1:2" x14ac:dyDescent="0.25">
      <c r="A68" s="6" t="s">
        <v>255</v>
      </c>
      <c r="B68" s="7">
        <f>SUMIF(R2:R64,"0-30",P2:P64)</f>
        <v>0</v>
      </c>
    </row>
    <row r="69" spans="1:2" x14ac:dyDescent="0.25">
      <c r="A69" s="6" t="s">
        <v>323</v>
      </c>
      <c r="B69" s="7">
        <f>SUMIF(R2:R64,"31-60",P2:P64)</f>
        <v>0</v>
      </c>
    </row>
    <row r="70" spans="1:2" x14ac:dyDescent="0.25">
      <c r="A70" s="6" t="s">
        <v>304</v>
      </c>
      <c r="B70" s="7">
        <f>SUMIF(R2:R64,"61-90",P2:P64)</f>
        <v>0</v>
      </c>
    </row>
    <row r="71" spans="1:2" x14ac:dyDescent="0.25">
      <c r="A71" s="6" t="s">
        <v>258</v>
      </c>
      <c r="B71" s="7">
        <f>SUMIF(R2:R64,"90+",P2:P64)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2CC"/>
  </sheetPr>
  <dimension ref="A1:T59"/>
  <sheetViews>
    <sheetView showGridLines="0" topLeftCell="D1" workbookViewId="0">
      <pane ySplit="1" topLeftCell="A19" activePane="bottomLeft" state="frozen"/>
      <selection pane="bottomLeft" activeCell="O26" sqref="O26"/>
    </sheetView>
  </sheetViews>
  <sheetFormatPr defaultRowHeight="15" x14ac:dyDescent="0.25"/>
  <cols>
    <col min="1" max="1" width="13" customWidth="1"/>
    <col min="2" max="2" width="12" customWidth="1"/>
    <col min="3" max="4" width="21" customWidth="1"/>
    <col min="5" max="6" width="13" customWidth="1"/>
    <col min="7" max="7" width="20" customWidth="1"/>
    <col min="8" max="8" width="16" customWidth="1"/>
    <col min="9" max="10" width="14" customWidth="1"/>
    <col min="11" max="11" width="9.5703125" customWidth="1"/>
    <col min="13" max="13" width="17" customWidth="1"/>
    <col min="14" max="14" width="13" customWidth="1"/>
    <col min="15" max="15" width="12.140625" customWidth="1"/>
    <col min="16" max="16" width="13.42578125" customWidth="1"/>
  </cols>
  <sheetData>
    <row r="1" spans="1:20" x14ac:dyDescent="0.25">
      <c r="A1" s="11" t="s">
        <v>324</v>
      </c>
      <c r="B1" s="11" t="s">
        <v>325</v>
      </c>
      <c r="C1" s="11" t="s">
        <v>326</v>
      </c>
      <c r="D1" s="11" t="s">
        <v>238</v>
      </c>
      <c r="E1" s="11" t="s">
        <v>327</v>
      </c>
      <c r="F1" s="11" t="s">
        <v>240</v>
      </c>
      <c r="G1" s="11" t="s">
        <v>241</v>
      </c>
      <c r="H1" s="11" t="s">
        <v>242</v>
      </c>
      <c r="I1" s="11" t="s">
        <v>243</v>
      </c>
      <c r="J1" s="11" t="s">
        <v>244</v>
      </c>
      <c r="K1" s="24" t="s">
        <v>328</v>
      </c>
      <c r="L1" s="24" t="s">
        <v>329</v>
      </c>
      <c r="M1" s="24" t="s">
        <v>330</v>
      </c>
      <c r="N1" s="24" t="s">
        <v>247</v>
      </c>
      <c r="O1" s="24" t="s">
        <v>331</v>
      </c>
      <c r="P1" s="24" t="s">
        <v>332</v>
      </c>
      <c r="Q1" s="12" t="s">
        <v>250</v>
      </c>
      <c r="R1" s="12" t="s">
        <v>251</v>
      </c>
      <c r="S1" s="12" t="s">
        <v>252</v>
      </c>
      <c r="T1" s="12" t="s">
        <v>33</v>
      </c>
    </row>
    <row r="2" spans="1:20" x14ac:dyDescent="0.25">
      <c r="A2" s="13" t="s">
        <v>333</v>
      </c>
      <c r="B2" s="13" t="s">
        <v>334</v>
      </c>
      <c r="C2" s="14">
        <v>45658</v>
      </c>
      <c r="D2" s="14">
        <v>45688</v>
      </c>
      <c r="E2" s="15">
        <v>120000</v>
      </c>
      <c r="F2" s="15">
        <v>120000</v>
      </c>
      <c r="G2" s="15">
        <v>0</v>
      </c>
      <c r="H2" s="13" t="s">
        <v>254</v>
      </c>
      <c r="I2" s="13">
        <v>0</v>
      </c>
      <c r="J2" s="23" t="s">
        <v>255</v>
      </c>
      <c r="K2" s="25" t="str">
        <f>A2</f>
        <v>AP-7001</v>
      </c>
      <c r="L2" s="25" t="str">
        <f>B2</f>
        <v>CloudNet</v>
      </c>
      <c r="M2" s="26">
        <f>C2</f>
        <v>45658</v>
      </c>
      <c r="N2" s="26">
        <f>D2</f>
        <v>45688</v>
      </c>
      <c r="O2" s="27">
        <f>E2</f>
        <v>120000</v>
      </c>
      <c r="P2" s="27">
        <f>O2</f>
        <v>120000</v>
      </c>
      <c r="Q2" s="10">
        <f t="shared" ref="Q2:Q49" si="0">MAX(0,O2-P2)</f>
        <v>0</v>
      </c>
      <c r="R2" s="6">
        <f t="shared" ref="R2:R49" ca="1" si="1">IF(Q2=0,0,MAX(0,TODAY()-N2))</f>
        <v>0</v>
      </c>
      <c r="S2" s="6" t="str">
        <f t="shared" ref="S2:S49" si="2">IF(Q2=0,"Paid",IF(R2&lt;=30,"0-30",IF(R2&lt;=60,"31-60",IF(R2&lt;=90,"61-90","90+"))))</f>
        <v>Paid</v>
      </c>
      <c r="T2" s="6" t="str">
        <f t="shared" ref="T2:T49" si="3">IF(Q2=0,"Paid",IF(R2&gt;90,"Critical",IF(R2&gt;60,"Overdue","Open")))</f>
        <v>Paid</v>
      </c>
    </row>
    <row r="3" spans="1:20" x14ac:dyDescent="0.25">
      <c r="A3" s="13" t="s">
        <v>335</v>
      </c>
      <c r="B3" s="13" t="s">
        <v>336</v>
      </c>
      <c r="C3" s="14">
        <v>45658</v>
      </c>
      <c r="D3" s="14">
        <v>45688</v>
      </c>
      <c r="E3" s="15">
        <v>145000</v>
      </c>
      <c r="F3" s="15">
        <v>116000</v>
      </c>
      <c r="G3" s="15">
        <v>29000</v>
      </c>
      <c r="H3" s="13" t="s">
        <v>257</v>
      </c>
      <c r="I3" s="13">
        <v>334</v>
      </c>
      <c r="J3" s="23" t="s">
        <v>258</v>
      </c>
      <c r="K3" s="25" t="str">
        <f t="shared" ref="K3:K49" si="4">A3</f>
        <v>AP-7002</v>
      </c>
      <c r="L3" s="25" t="str">
        <f t="shared" ref="L3:L49" si="5">B3</f>
        <v>OfficeHub</v>
      </c>
      <c r="M3" s="26">
        <f t="shared" ref="M3:M49" si="6">C3</f>
        <v>45658</v>
      </c>
      <c r="N3" s="26">
        <f t="shared" ref="N3:N14" si="7">D3</f>
        <v>45688</v>
      </c>
      <c r="O3" s="27">
        <f t="shared" ref="O3:O49" si="8">E3</f>
        <v>145000</v>
      </c>
      <c r="P3" s="27">
        <f t="shared" ref="P3:P14" si="9">O3</f>
        <v>145000</v>
      </c>
      <c r="Q3" s="10">
        <f t="shared" si="0"/>
        <v>0</v>
      </c>
      <c r="R3" s="6">
        <f t="shared" ca="1" si="1"/>
        <v>0</v>
      </c>
      <c r="S3" s="6" t="str">
        <f t="shared" si="2"/>
        <v>Paid</v>
      </c>
      <c r="T3" s="6" t="str">
        <f t="shared" si="3"/>
        <v>Paid</v>
      </c>
    </row>
    <row r="4" spans="1:20" x14ac:dyDescent="0.25">
      <c r="A4" s="13" t="s">
        <v>337</v>
      </c>
      <c r="B4" s="13" t="s">
        <v>338</v>
      </c>
      <c r="C4" s="14">
        <v>45658</v>
      </c>
      <c r="D4" s="14">
        <v>45688</v>
      </c>
      <c r="E4" s="15">
        <v>170000</v>
      </c>
      <c r="F4" s="15">
        <v>85000</v>
      </c>
      <c r="G4" s="15">
        <v>85000</v>
      </c>
      <c r="H4" s="13" t="s">
        <v>257</v>
      </c>
      <c r="I4" s="13">
        <v>334</v>
      </c>
      <c r="J4" s="23" t="s">
        <v>258</v>
      </c>
      <c r="K4" s="25" t="str">
        <f t="shared" si="4"/>
        <v>AP-7003</v>
      </c>
      <c r="L4" s="25" t="str">
        <f t="shared" si="5"/>
        <v>TravelPro</v>
      </c>
      <c r="M4" s="26">
        <f t="shared" si="6"/>
        <v>45658</v>
      </c>
      <c r="N4" s="26">
        <f t="shared" si="7"/>
        <v>45688</v>
      </c>
      <c r="O4" s="27">
        <f t="shared" si="8"/>
        <v>170000</v>
      </c>
      <c r="P4" s="27">
        <f t="shared" si="9"/>
        <v>170000</v>
      </c>
      <c r="Q4" s="10">
        <f t="shared" si="0"/>
        <v>0</v>
      </c>
      <c r="R4" s="6">
        <f t="shared" ca="1" si="1"/>
        <v>0</v>
      </c>
      <c r="S4" s="6" t="str">
        <f t="shared" si="2"/>
        <v>Paid</v>
      </c>
      <c r="T4" s="6" t="str">
        <f t="shared" si="3"/>
        <v>Paid</v>
      </c>
    </row>
    <row r="5" spans="1:20" x14ac:dyDescent="0.25">
      <c r="A5" s="13" t="s">
        <v>339</v>
      </c>
      <c r="B5" s="13" t="s">
        <v>340</v>
      </c>
      <c r="C5" s="14">
        <v>45658</v>
      </c>
      <c r="D5" s="14">
        <v>45688</v>
      </c>
      <c r="E5" s="15">
        <v>195000</v>
      </c>
      <c r="F5" s="15">
        <v>0</v>
      </c>
      <c r="G5" s="15">
        <v>195000</v>
      </c>
      <c r="H5" s="13" t="s">
        <v>262</v>
      </c>
      <c r="I5" s="13">
        <v>334</v>
      </c>
      <c r="J5" s="23" t="s">
        <v>258</v>
      </c>
      <c r="K5" s="25" t="str">
        <f t="shared" si="4"/>
        <v>AP-7004</v>
      </c>
      <c r="L5" s="25" t="str">
        <f t="shared" si="5"/>
        <v>SoftWorks</v>
      </c>
      <c r="M5" s="26">
        <f t="shared" si="6"/>
        <v>45658</v>
      </c>
      <c r="N5" s="26">
        <f t="shared" si="7"/>
        <v>45688</v>
      </c>
      <c r="O5" s="27">
        <f t="shared" si="8"/>
        <v>195000</v>
      </c>
      <c r="P5" s="27">
        <f t="shared" si="9"/>
        <v>195000</v>
      </c>
      <c r="Q5" s="10">
        <f t="shared" si="0"/>
        <v>0</v>
      </c>
      <c r="R5" s="6">
        <f t="shared" ca="1" si="1"/>
        <v>0</v>
      </c>
      <c r="S5" s="6" t="str">
        <f t="shared" si="2"/>
        <v>Paid</v>
      </c>
      <c r="T5" s="6" t="str">
        <f t="shared" si="3"/>
        <v>Paid</v>
      </c>
    </row>
    <row r="6" spans="1:20" x14ac:dyDescent="0.25">
      <c r="A6" s="13" t="s">
        <v>341</v>
      </c>
      <c r="B6" s="13" t="s">
        <v>336</v>
      </c>
      <c r="C6" s="14">
        <v>45689</v>
      </c>
      <c r="D6" s="14">
        <v>45719</v>
      </c>
      <c r="E6" s="15">
        <v>128000</v>
      </c>
      <c r="F6" s="15">
        <v>102400</v>
      </c>
      <c r="G6" s="15">
        <v>25600</v>
      </c>
      <c r="H6" s="13" t="s">
        <v>257</v>
      </c>
      <c r="I6" s="13">
        <v>303</v>
      </c>
      <c r="J6" s="23" t="s">
        <v>258</v>
      </c>
      <c r="K6" s="25" t="str">
        <f t="shared" si="4"/>
        <v>AP-7005</v>
      </c>
      <c r="L6" s="25" t="str">
        <f t="shared" si="5"/>
        <v>OfficeHub</v>
      </c>
      <c r="M6" s="26">
        <f t="shared" si="6"/>
        <v>45689</v>
      </c>
      <c r="N6" s="26">
        <f t="shared" si="7"/>
        <v>45719</v>
      </c>
      <c r="O6" s="27">
        <f t="shared" si="8"/>
        <v>128000</v>
      </c>
      <c r="P6" s="27">
        <f t="shared" si="9"/>
        <v>128000</v>
      </c>
      <c r="Q6" s="10">
        <f t="shared" si="0"/>
        <v>0</v>
      </c>
      <c r="R6" s="6">
        <f t="shared" ca="1" si="1"/>
        <v>0</v>
      </c>
      <c r="S6" s="6" t="str">
        <f t="shared" si="2"/>
        <v>Paid</v>
      </c>
      <c r="T6" s="6" t="str">
        <f t="shared" si="3"/>
        <v>Paid</v>
      </c>
    </row>
    <row r="7" spans="1:20" x14ac:dyDescent="0.25">
      <c r="A7" s="13" t="s">
        <v>342</v>
      </c>
      <c r="B7" s="13" t="s">
        <v>338</v>
      </c>
      <c r="C7" s="14">
        <v>45689</v>
      </c>
      <c r="D7" s="14">
        <v>45719</v>
      </c>
      <c r="E7" s="15">
        <v>153000</v>
      </c>
      <c r="F7" s="15">
        <v>76500</v>
      </c>
      <c r="G7" s="15">
        <v>76500</v>
      </c>
      <c r="H7" s="13" t="s">
        <v>257</v>
      </c>
      <c r="I7" s="13">
        <v>303</v>
      </c>
      <c r="J7" s="23" t="s">
        <v>258</v>
      </c>
      <c r="K7" s="25" t="str">
        <f t="shared" si="4"/>
        <v>AP-7006</v>
      </c>
      <c r="L7" s="25" t="str">
        <f t="shared" si="5"/>
        <v>TravelPro</v>
      </c>
      <c r="M7" s="26">
        <f t="shared" si="6"/>
        <v>45689</v>
      </c>
      <c r="N7" s="26">
        <f t="shared" si="7"/>
        <v>45719</v>
      </c>
      <c r="O7" s="27">
        <f t="shared" si="8"/>
        <v>153000</v>
      </c>
      <c r="P7" s="27">
        <f t="shared" si="9"/>
        <v>153000</v>
      </c>
      <c r="Q7" s="10">
        <f t="shared" si="0"/>
        <v>0</v>
      </c>
      <c r="R7" s="6">
        <f t="shared" ca="1" si="1"/>
        <v>0</v>
      </c>
      <c r="S7" s="6" t="str">
        <f t="shared" si="2"/>
        <v>Paid</v>
      </c>
      <c r="T7" s="6" t="str">
        <f t="shared" si="3"/>
        <v>Paid</v>
      </c>
    </row>
    <row r="8" spans="1:20" x14ac:dyDescent="0.25">
      <c r="A8" s="13" t="s">
        <v>343</v>
      </c>
      <c r="B8" s="13" t="s">
        <v>340</v>
      </c>
      <c r="C8" s="14">
        <v>45689</v>
      </c>
      <c r="D8" s="14">
        <v>45719</v>
      </c>
      <c r="E8" s="15">
        <v>178000</v>
      </c>
      <c r="F8" s="15">
        <v>0</v>
      </c>
      <c r="G8" s="15">
        <v>178000</v>
      </c>
      <c r="H8" s="13" t="s">
        <v>262</v>
      </c>
      <c r="I8" s="13">
        <v>303</v>
      </c>
      <c r="J8" s="23" t="s">
        <v>258</v>
      </c>
      <c r="K8" s="25" t="str">
        <f t="shared" si="4"/>
        <v>AP-7007</v>
      </c>
      <c r="L8" s="25" t="str">
        <f t="shared" si="5"/>
        <v>SoftWorks</v>
      </c>
      <c r="M8" s="26">
        <f t="shared" si="6"/>
        <v>45689</v>
      </c>
      <c r="N8" s="26">
        <f t="shared" si="7"/>
        <v>45719</v>
      </c>
      <c r="O8" s="27">
        <f t="shared" si="8"/>
        <v>178000</v>
      </c>
      <c r="P8" s="27">
        <f t="shared" si="9"/>
        <v>178000</v>
      </c>
      <c r="Q8" s="10">
        <f t="shared" si="0"/>
        <v>0</v>
      </c>
      <c r="R8" s="6">
        <f t="shared" ca="1" si="1"/>
        <v>0</v>
      </c>
      <c r="S8" s="6" t="str">
        <f t="shared" si="2"/>
        <v>Paid</v>
      </c>
      <c r="T8" s="6" t="str">
        <f t="shared" si="3"/>
        <v>Paid</v>
      </c>
    </row>
    <row r="9" spans="1:20" x14ac:dyDescent="0.25">
      <c r="A9" s="13" t="s">
        <v>344</v>
      </c>
      <c r="B9" s="13" t="s">
        <v>345</v>
      </c>
      <c r="C9" s="14">
        <v>45689</v>
      </c>
      <c r="D9" s="14">
        <v>45719</v>
      </c>
      <c r="E9" s="15">
        <v>203000</v>
      </c>
      <c r="F9" s="15">
        <v>203000</v>
      </c>
      <c r="G9" s="15">
        <v>0</v>
      </c>
      <c r="H9" s="13" t="s">
        <v>254</v>
      </c>
      <c r="I9" s="13">
        <v>0</v>
      </c>
      <c r="J9" s="23" t="s">
        <v>255</v>
      </c>
      <c r="K9" s="25" t="str">
        <f t="shared" si="4"/>
        <v>AP-7008</v>
      </c>
      <c r="L9" s="25" t="str">
        <f t="shared" si="5"/>
        <v>UtilityCo</v>
      </c>
      <c r="M9" s="26">
        <f t="shared" si="6"/>
        <v>45689</v>
      </c>
      <c r="N9" s="26">
        <f t="shared" si="7"/>
        <v>45719</v>
      </c>
      <c r="O9" s="27">
        <f t="shared" si="8"/>
        <v>203000</v>
      </c>
      <c r="P9" s="27">
        <f t="shared" si="9"/>
        <v>203000</v>
      </c>
      <c r="Q9" s="10">
        <f t="shared" si="0"/>
        <v>0</v>
      </c>
      <c r="R9" s="6">
        <f t="shared" ca="1" si="1"/>
        <v>0</v>
      </c>
      <c r="S9" s="6" t="str">
        <f t="shared" si="2"/>
        <v>Paid</v>
      </c>
      <c r="T9" s="6" t="str">
        <f t="shared" si="3"/>
        <v>Paid</v>
      </c>
    </row>
    <row r="10" spans="1:20" x14ac:dyDescent="0.25">
      <c r="A10" s="13" t="s">
        <v>346</v>
      </c>
      <c r="B10" s="13" t="s">
        <v>338</v>
      </c>
      <c r="C10" s="14">
        <v>45717</v>
      </c>
      <c r="D10" s="14">
        <v>45747</v>
      </c>
      <c r="E10" s="15">
        <v>136000</v>
      </c>
      <c r="F10" s="15">
        <v>68000</v>
      </c>
      <c r="G10" s="15">
        <v>68000</v>
      </c>
      <c r="H10" s="13" t="s">
        <v>257</v>
      </c>
      <c r="I10" s="13">
        <v>275</v>
      </c>
      <c r="J10" s="23" t="s">
        <v>258</v>
      </c>
      <c r="K10" s="25" t="str">
        <f t="shared" si="4"/>
        <v>AP-7009</v>
      </c>
      <c r="L10" s="25" t="str">
        <f t="shared" si="5"/>
        <v>TravelPro</v>
      </c>
      <c r="M10" s="26">
        <f t="shared" si="6"/>
        <v>45717</v>
      </c>
      <c r="N10" s="26">
        <f t="shared" si="7"/>
        <v>45747</v>
      </c>
      <c r="O10" s="27">
        <f t="shared" si="8"/>
        <v>136000</v>
      </c>
      <c r="P10" s="27">
        <f t="shared" si="9"/>
        <v>136000</v>
      </c>
      <c r="Q10" s="10">
        <f t="shared" si="0"/>
        <v>0</v>
      </c>
      <c r="R10" s="6">
        <f t="shared" ca="1" si="1"/>
        <v>0</v>
      </c>
      <c r="S10" s="6" t="str">
        <f t="shared" si="2"/>
        <v>Paid</v>
      </c>
      <c r="T10" s="6" t="str">
        <f t="shared" si="3"/>
        <v>Paid</v>
      </c>
    </row>
    <row r="11" spans="1:20" x14ac:dyDescent="0.25">
      <c r="A11" s="13" t="s">
        <v>347</v>
      </c>
      <c r="B11" s="13" t="s">
        <v>340</v>
      </c>
      <c r="C11" s="14">
        <v>45717</v>
      </c>
      <c r="D11" s="14">
        <v>45747</v>
      </c>
      <c r="E11" s="15">
        <v>161000</v>
      </c>
      <c r="F11" s="15">
        <v>0</v>
      </c>
      <c r="G11" s="15">
        <v>161000</v>
      </c>
      <c r="H11" s="13" t="s">
        <v>262</v>
      </c>
      <c r="I11" s="13">
        <v>275</v>
      </c>
      <c r="J11" s="23" t="s">
        <v>258</v>
      </c>
      <c r="K11" s="25" t="str">
        <f t="shared" si="4"/>
        <v>AP-7010</v>
      </c>
      <c r="L11" s="25" t="str">
        <f t="shared" si="5"/>
        <v>SoftWorks</v>
      </c>
      <c r="M11" s="26">
        <f t="shared" si="6"/>
        <v>45717</v>
      </c>
      <c r="N11" s="26">
        <f t="shared" si="7"/>
        <v>45747</v>
      </c>
      <c r="O11" s="27">
        <f t="shared" si="8"/>
        <v>161000</v>
      </c>
      <c r="P11" s="27">
        <f t="shared" si="9"/>
        <v>161000</v>
      </c>
      <c r="Q11" s="10">
        <f t="shared" si="0"/>
        <v>0</v>
      </c>
      <c r="R11" s="6">
        <f t="shared" ca="1" si="1"/>
        <v>0</v>
      </c>
      <c r="S11" s="6" t="str">
        <f t="shared" si="2"/>
        <v>Paid</v>
      </c>
      <c r="T11" s="6" t="str">
        <f t="shared" si="3"/>
        <v>Paid</v>
      </c>
    </row>
    <row r="12" spans="1:20" x14ac:dyDescent="0.25">
      <c r="A12" s="13" t="s">
        <v>348</v>
      </c>
      <c r="B12" s="13" t="s">
        <v>345</v>
      </c>
      <c r="C12" s="14">
        <v>45717</v>
      </c>
      <c r="D12" s="14">
        <v>45747</v>
      </c>
      <c r="E12" s="15">
        <v>186000</v>
      </c>
      <c r="F12" s="15">
        <v>186000</v>
      </c>
      <c r="G12" s="15">
        <v>0</v>
      </c>
      <c r="H12" s="13" t="s">
        <v>254</v>
      </c>
      <c r="I12" s="13">
        <v>0</v>
      </c>
      <c r="J12" s="23" t="s">
        <v>255</v>
      </c>
      <c r="K12" s="25" t="str">
        <f t="shared" si="4"/>
        <v>AP-7011</v>
      </c>
      <c r="L12" s="25" t="str">
        <f t="shared" si="5"/>
        <v>UtilityCo</v>
      </c>
      <c r="M12" s="26">
        <f t="shared" si="6"/>
        <v>45717</v>
      </c>
      <c r="N12" s="26">
        <f t="shared" si="7"/>
        <v>45747</v>
      </c>
      <c r="O12" s="27">
        <f t="shared" si="8"/>
        <v>186000</v>
      </c>
      <c r="P12" s="27">
        <f t="shared" si="9"/>
        <v>186000</v>
      </c>
      <c r="Q12" s="10">
        <f t="shared" si="0"/>
        <v>0</v>
      </c>
      <c r="R12" s="6">
        <f t="shared" ca="1" si="1"/>
        <v>0</v>
      </c>
      <c r="S12" s="6" t="str">
        <f t="shared" si="2"/>
        <v>Paid</v>
      </c>
      <c r="T12" s="6" t="str">
        <f t="shared" si="3"/>
        <v>Paid</v>
      </c>
    </row>
    <row r="13" spans="1:20" x14ac:dyDescent="0.25">
      <c r="A13" s="13" t="s">
        <v>349</v>
      </c>
      <c r="B13" s="13" t="s">
        <v>350</v>
      </c>
      <c r="C13" s="14">
        <v>45717</v>
      </c>
      <c r="D13" s="14">
        <v>45747</v>
      </c>
      <c r="E13" s="15">
        <v>211000</v>
      </c>
      <c r="F13" s="15">
        <v>168800</v>
      </c>
      <c r="G13" s="15">
        <v>42200</v>
      </c>
      <c r="H13" s="13" t="s">
        <v>257</v>
      </c>
      <c r="I13" s="13">
        <v>275</v>
      </c>
      <c r="J13" s="23" t="s">
        <v>258</v>
      </c>
      <c r="K13" s="25" t="str">
        <f t="shared" si="4"/>
        <v>AP-7012</v>
      </c>
      <c r="L13" s="25" t="str">
        <f t="shared" si="5"/>
        <v>InfraServe</v>
      </c>
      <c r="M13" s="26">
        <f t="shared" si="6"/>
        <v>45717</v>
      </c>
      <c r="N13" s="26">
        <f t="shared" si="7"/>
        <v>45747</v>
      </c>
      <c r="O13" s="27">
        <f t="shared" si="8"/>
        <v>211000</v>
      </c>
      <c r="P13" s="27">
        <f t="shared" si="9"/>
        <v>211000</v>
      </c>
      <c r="Q13" s="10">
        <f t="shared" si="0"/>
        <v>0</v>
      </c>
      <c r="R13" s="6">
        <f t="shared" ca="1" si="1"/>
        <v>0</v>
      </c>
      <c r="S13" s="6" t="str">
        <f t="shared" si="2"/>
        <v>Paid</v>
      </c>
      <c r="T13" s="6" t="str">
        <f t="shared" si="3"/>
        <v>Paid</v>
      </c>
    </row>
    <row r="14" spans="1:20" x14ac:dyDescent="0.25">
      <c r="A14" s="33" t="s">
        <v>351</v>
      </c>
      <c r="B14" s="33" t="s">
        <v>340</v>
      </c>
      <c r="C14" s="34">
        <v>45748</v>
      </c>
      <c r="D14" s="34">
        <v>45778</v>
      </c>
      <c r="E14" s="20">
        <v>144000</v>
      </c>
      <c r="F14" s="20">
        <v>0</v>
      </c>
      <c r="G14" s="20">
        <v>144000</v>
      </c>
      <c r="H14" s="33" t="s">
        <v>262</v>
      </c>
      <c r="I14" s="33">
        <v>244</v>
      </c>
      <c r="J14" s="35" t="s">
        <v>258</v>
      </c>
      <c r="K14" s="36" t="str">
        <f t="shared" si="4"/>
        <v>AP-7013</v>
      </c>
      <c r="L14" s="36" t="str">
        <f t="shared" si="5"/>
        <v>SoftWorks</v>
      </c>
      <c r="M14" s="37">
        <f t="shared" si="6"/>
        <v>45748</v>
      </c>
      <c r="N14" s="37">
        <f t="shared" si="7"/>
        <v>45778</v>
      </c>
      <c r="O14" s="38">
        <f t="shared" si="8"/>
        <v>144000</v>
      </c>
      <c r="P14" s="38">
        <f t="shared" si="9"/>
        <v>144000</v>
      </c>
      <c r="Q14" s="39">
        <f t="shared" si="0"/>
        <v>0</v>
      </c>
      <c r="R14" s="40">
        <f t="shared" ca="1" si="1"/>
        <v>0</v>
      </c>
      <c r="S14" s="40" t="str">
        <f t="shared" si="2"/>
        <v>Paid</v>
      </c>
      <c r="T14" s="40" t="str">
        <f t="shared" si="3"/>
        <v>Paid</v>
      </c>
    </row>
    <row r="15" spans="1:20" x14ac:dyDescent="0.25">
      <c r="A15" s="30" t="s">
        <v>352</v>
      </c>
      <c r="B15" s="30" t="s">
        <v>345</v>
      </c>
      <c r="C15" s="31">
        <v>45748</v>
      </c>
      <c r="D15" s="31">
        <v>45778</v>
      </c>
      <c r="E15" s="32">
        <v>169000</v>
      </c>
      <c r="F15" s="32">
        <v>169000</v>
      </c>
      <c r="G15" s="32">
        <v>0</v>
      </c>
      <c r="H15" s="30" t="s">
        <v>254</v>
      </c>
      <c r="I15" s="30">
        <v>0</v>
      </c>
      <c r="J15" s="30" t="s">
        <v>255</v>
      </c>
      <c r="K15" s="25" t="str">
        <f t="shared" si="4"/>
        <v>AP-7014</v>
      </c>
      <c r="L15" s="25" t="str">
        <f t="shared" si="5"/>
        <v>UtilityCo</v>
      </c>
      <c r="M15" s="26">
        <f t="shared" si="6"/>
        <v>45748</v>
      </c>
      <c r="N15" s="26">
        <f>D15</f>
        <v>45778</v>
      </c>
      <c r="O15" s="27">
        <f t="shared" si="8"/>
        <v>169000</v>
      </c>
      <c r="P15" s="27">
        <f>O15</f>
        <v>169000</v>
      </c>
      <c r="Q15" s="25">
        <f t="shared" si="0"/>
        <v>0</v>
      </c>
      <c r="R15" s="25">
        <f t="shared" ca="1" si="1"/>
        <v>0</v>
      </c>
      <c r="S15" s="25" t="str">
        <f t="shared" si="2"/>
        <v>Paid</v>
      </c>
      <c r="T15" s="25" t="str">
        <f t="shared" si="3"/>
        <v>Paid</v>
      </c>
    </row>
    <row r="16" spans="1:20" x14ac:dyDescent="0.25">
      <c r="A16" s="30" t="s">
        <v>353</v>
      </c>
      <c r="B16" s="30" t="s">
        <v>350</v>
      </c>
      <c r="C16" s="31">
        <v>45748</v>
      </c>
      <c r="D16" s="31">
        <v>45778</v>
      </c>
      <c r="E16" s="32">
        <v>194000</v>
      </c>
      <c r="F16" s="32">
        <v>155200</v>
      </c>
      <c r="G16" s="32">
        <v>38800</v>
      </c>
      <c r="H16" s="30" t="s">
        <v>257</v>
      </c>
      <c r="I16" s="30">
        <v>244</v>
      </c>
      <c r="J16" s="30" t="s">
        <v>258</v>
      </c>
      <c r="K16" s="25" t="str">
        <f t="shared" si="4"/>
        <v>AP-7015</v>
      </c>
      <c r="L16" s="25" t="str">
        <f t="shared" si="5"/>
        <v>InfraServe</v>
      </c>
      <c r="M16" s="26">
        <f t="shared" si="6"/>
        <v>45748</v>
      </c>
      <c r="N16" s="26">
        <f t="shared" ref="N16:N49" si="10">D16</f>
        <v>45778</v>
      </c>
      <c r="O16" s="27">
        <f t="shared" si="8"/>
        <v>194000</v>
      </c>
      <c r="P16" s="27">
        <f t="shared" ref="P16:P49" si="11">O16</f>
        <v>194000</v>
      </c>
      <c r="Q16" s="25">
        <f t="shared" si="0"/>
        <v>0</v>
      </c>
      <c r="R16" s="25">
        <f t="shared" ca="1" si="1"/>
        <v>0</v>
      </c>
      <c r="S16" s="25" t="str">
        <f t="shared" si="2"/>
        <v>Paid</v>
      </c>
      <c r="T16" s="25" t="str">
        <f t="shared" si="3"/>
        <v>Paid</v>
      </c>
    </row>
    <row r="17" spans="1:20" x14ac:dyDescent="0.25">
      <c r="A17" s="30" t="s">
        <v>354</v>
      </c>
      <c r="B17" s="30" t="s">
        <v>334</v>
      </c>
      <c r="C17" s="31">
        <v>45748</v>
      </c>
      <c r="D17" s="31">
        <v>45778</v>
      </c>
      <c r="E17" s="32">
        <v>219000</v>
      </c>
      <c r="F17" s="32">
        <v>109500</v>
      </c>
      <c r="G17" s="32">
        <v>109500</v>
      </c>
      <c r="H17" s="30" t="s">
        <v>257</v>
      </c>
      <c r="I17" s="30">
        <v>244</v>
      </c>
      <c r="J17" s="30" t="s">
        <v>258</v>
      </c>
      <c r="K17" s="25" t="str">
        <f t="shared" si="4"/>
        <v>AP-7016</v>
      </c>
      <c r="L17" s="25" t="str">
        <f t="shared" si="5"/>
        <v>CloudNet</v>
      </c>
      <c r="M17" s="26">
        <f t="shared" si="6"/>
        <v>45748</v>
      </c>
      <c r="N17" s="26">
        <f t="shared" si="10"/>
        <v>45778</v>
      </c>
      <c r="O17" s="27">
        <f t="shared" si="8"/>
        <v>219000</v>
      </c>
      <c r="P17" s="27">
        <f t="shared" si="11"/>
        <v>219000</v>
      </c>
      <c r="Q17" s="25">
        <f t="shared" si="0"/>
        <v>0</v>
      </c>
      <c r="R17" s="25">
        <f t="shared" ca="1" si="1"/>
        <v>0</v>
      </c>
      <c r="S17" s="25" t="str">
        <f t="shared" si="2"/>
        <v>Paid</v>
      </c>
      <c r="T17" s="25" t="str">
        <f t="shared" si="3"/>
        <v>Paid</v>
      </c>
    </row>
    <row r="18" spans="1:20" x14ac:dyDescent="0.25">
      <c r="A18" s="30" t="s">
        <v>355</v>
      </c>
      <c r="B18" s="30" t="s">
        <v>345</v>
      </c>
      <c r="C18" s="31">
        <v>45778</v>
      </c>
      <c r="D18" s="31">
        <v>45808</v>
      </c>
      <c r="E18" s="32">
        <v>152000</v>
      </c>
      <c r="F18" s="32">
        <v>152000</v>
      </c>
      <c r="G18" s="32">
        <v>0</v>
      </c>
      <c r="H18" s="30" t="s">
        <v>254</v>
      </c>
      <c r="I18" s="30">
        <v>0</v>
      </c>
      <c r="J18" s="30" t="s">
        <v>255</v>
      </c>
      <c r="K18" s="25" t="str">
        <f t="shared" si="4"/>
        <v>AP-7017</v>
      </c>
      <c r="L18" s="25" t="str">
        <f t="shared" si="5"/>
        <v>UtilityCo</v>
      </c>
      <c r="M18" s="26">
        <f t="shared" si="6"/>
        <v>45778</v>
      </c>
      <c r="N18" s="26">
        <f t="shared" si="10"/>
        <v>45808</v>
      </c>
      <c r="O18" s="27">
        <f t="shared" si="8"/>
        <v>152000</v>
      </c>
      <c r="P18" s="27">
        <f t="shared" si="11"/>
        <v>152000</v>
      </c>
      <c r="Q18" s="25">
        <f t="shared" si="0"/>
        <v>0</v>
      </c>
      <c r="R18" s="25">
        <f t="shared" ca="1" si="1"/>
        <v>0</v>
      </c>
      <c r="S18" s="25" t="str">
        <f t="shared" si="2"/>
        <v>Paid</v>
      </c>
      <c r="T18" s="25" t="str">
        <f t="shared" si="3"/>
        <v>Paid</v>
      </c>
    </row>
    <row r="19" spans="1:20" x14ac:dyDescent="0.25">
      <c r="A19" s="30" t="s">
        <v>356</v>
      </c>
      <c r="B19" s="30" t="s">
        <v>350</v>
      </c>
      <c r="C19" s="31">
        <v>45778</v>
      </c>
      <c r="D19" s="31">
        <v>45808</v>
      </c>
      <c r="E19" s="32">
        <v>177000</v>
      </c>
      <c r="F19" s="32">
        <v>141600</v>
      </c>
      <c r="G19" s="32">
        <v>35400</v>
      </c>
      <c r="H19" s="30" t="s">
        <v>257</v>
      </c>
      <c r="I19" s="30">
        <v>214</v>
      </c>
      <c r="J19" s="30" t="s">
        <v>258</v>
      </c>
      <c r="K19" s="25" t="str">
        <f t="shared" si="4"/>
        <v>AP-7018</v>
      </c>
      <c r="L19" s="25" t="str">
        <f t="shared" si="5"/>
        <v>InfraServe</v>
      </c>
      <c r="M19" s="26">
        <f t="shared" si="6"/>
        <v>45778</v>
      </c>
      <c r="N19" s="26">
        <f t="shared" si="10"/>
        <v>45808</v>
      </c>
      <c r="O19" s="27">
        <f t="shared" si="8"/>
        <v>177000</v>
      </c>
      <c r="P19" s="27">
        <f t="shared" si="11"/>
        <v>177000</v>
      </c>
      <c r="Q19" s="25">
        <f t="shared" si="0"/>
        <v>0</v>
      </c>
      <c r="R19" s="25">
        <f t="shared" ca="1" si="1"/>
        <v>0</v>
      </c>
      <c r="S19" s="25" t="str">
        <f t="shared" si="2"/>
        <v>Paid</v>
      </c>
      <c r="T19" s="25" t="str">
        <f t="shared" si="3"/>
        <v>Paid</v>
      </c>
    </row>
    <row r="20" spans="1:20" x14ac:dyDescent="0.25">
      <c r="A20" s="30" t="s">
        <v>357</v>
      </c>
      <c r="B20" s="30" t="s">
        <v>334</v>
      </c>
      <c r="C20" s="31">
        <v>45778</v>
      </c>
      <c r="D20" s="31">
        <v>45808</v>
      </c>
      <c r="E20" s="32">
        <v>202000</v>
      </c>
      <c r="F20" s="32">
        <v>101000</v>
      </c>
      <c r="G20" s="32">
        <v>101000</v>
      </c>
      <c r="H20" s="30" t="s">
        <v>257</v>
      </c>
      <c r="I20" s="30">
        <v>214</v>
      </c>
      <c r="J20" s="30" t="s">
        <v>258</v>
      </c>
      <c r="K20" s="25" t="str">
        <f t="shared" si="4"/>
        <v>AP-7019</v>
      </c>
      <c r="L20" s="25" t="str">
        <f t="shared" si="5"/>
        <v>CloudNet</v>
      </c>
      <c r="M20" s="26">
        <f t="shared" si="6"/>
        <v>45778</v>
      </c>
      <c r="N20" s="26">
        <f t="shared" si="10"/>
        <v>45808</v>
      </c>
      <c r="O20" s="27">
        <f t="shared" si="8"/>
        <v>202000</v>
      </c>
      <c r="P20" s="27">
        <f t="shared" si="11"/>
        <v>202000</v>
      </c>
      <c r="Q20" s="25">
        <f t="shared" si="0"/>
        <v>0</v>
      </c>
      <c r="R20" s="25">
        <f t="shared" ca="1" si="1"/>
        <v>0</v>
      </c>
      <c r="S20" s="25" t="str">
        <f t="shared" si="2"/>
        <v>Paid</v>
      </c>
      <c r="T20" s="25" t="str">
        <f t="shared" si="3"/>
        <v>Paid</v>
      </c>
    </row>
    <row r="21" spans="1:20" x14ac:dyDescent="0.25">
      <c r="A21" s="30" t="s">
        <v>358</v>
      </c>
      <c r="B21" s="30" t="s">
        <v>336</v>
      </c>
      <c r="C21" s="31">
        <v>45778</v>
      </c>
      <c r="D21" s="31">
        <v>45808</v>
      </c>
      <c r="E21" s="32">
        <v>227000</v>
      </c>
      <c r="F21" s="32">
        <v>0</v>
      </c>
      <c r="G21" s="32">
        <v>227000</v>
      </c>
      <c r="H21" s="30" t="s">
        <v>262</v>
      </c>
      <c r="I21" s="30">
        <v>214</v>
      </c>
      <c r="J21" s="30" t="s">
        <v>258</v>
      </c>
      <c r="K21" s="25" t="str">
        <f t="shared" si="4"/>
        <v>AP-7020</v>
      </c>
      <c r="L21" s="25" t="str">
        <f t="shared" si="5"/>
        <v>OfficeHub</v>
      </c>
      <c r="M21" s="26">
        <f t="shared" si="6"/>
        <v>45778</v>
      </c>
      <c r="N21" s="26">
        <f t="shared" si="10"/>
        <v>45808</v>
      </c>
      <c r="O21" s="27">
        <f t="shared" si="8"/>
        <v>227000</v>
      </c>
      <c r="P21" s="27">
        <f t="shared" si="11"/>
        <v>227000</v>
      </c>
      <c r="Q21" s="25">
        <f t="shared" si="0"/>
        <v>0</v>
      </c>
      <c r="R21" s="25">
        <f t="shared" ca="1" si="1"/>
        <v>0</v>
      </c>
      <c r="S21" s="25" t="str">
        <f t="shared" si="2"/>
        <v>Paid</v>
      </c>
      <c r="T21" s="25" t="str">
        <f t="shared" si="3"/>
        <v>Paid</v>
      </c>
    </row>
    <row r="22" spans="1:20" x14ac:dyDescent="0.25">
      <c r="A22" s="30" t="s">
        <v>359</v>
      </c>
      <c r="B22" s="30" t="s">
        <v>350</v>
      </c>
      <c r="C22" s="31">
        <v>45809</v>
      </c>
      <c r="D22" s="31">
        <v>45839</v>
      </c>
      <c r="E22" s="32">
        <v>160000</v>
      </c>
      <c r="F22" s="32">
        <v>128000</v>
      </c>
      <c r="G22" s="32">
        <v>32000</v>
      </c>
      <c r="H22" s="30" t="s">
        <v>257</v>
      </c>
      <c r="I22" s="30">
        <v>183</v>
      </c>
      <c r="J22" s="30" t="s">
        <v>258</v>
      </c>
      <c r="K22" s="25" t="str">
        <f t="shared" si="4"/>
        <v>AP-7021</v>
      </c>
      <c r="L22" s="25" t="str">
        <f t="shared" si="5"/>
        <v>InfraServe</v>
      </c>
      <c r="M22" s="26">
        <f t="shared" si="6"/>
        <v>45809</v>
      </c>
      <c r="N22" s="26">
        <f t="shared" si="10"/>
        <v>45839</v>
      </c>
      <c r="O22" s="27">
        <f t="shared" si="8"/>
        <v>160000</v>
      </c>
      <c r="P22" s="27">
        <f t="shared" si="11"/>
        <v>160000</v>
      </c>
      <c r="Q22" s="25">
        <f t="shared" si="0"/>
        <v>0</v>
      </c>
      <c r="R22" s="25">
        <f t="shared" ca="1" si="1"/>
        <v>0</v>
      </c>
      <c r="S22" s="25" t="str">
        <f t="shared" si="2"/>
        <v>Paid</v>
      </c>
      <c r="T22" s="25" t="str">
        <f t="shared" si="3"/>
        <v>Paid</v>
      </c>
    </row>
    <row r="23" spans="1:20" x14ac:dyDescent="0.25">
      <c r="A23" s="30" t="s">
        <v>360</v>
      </c>
      <c r="B23" s="30" t="s">
        <v>334</v>
      </c>
      <c r="C23" s="31">
        <v>45809</v>
      </c>
      <c r="D23" s="31">
        <v>45839</v>
      </c>
      <c r="E23" s="32">
        <v>185000</v>
      </c>
      <c r="F23" s="32">
        <v>92500</v>
      </c>
      <c r="G23" s="32">
        <v>92500</v>
      </c>
      <c r="H23" s="30" t="s">
        <v>257</v>
      </c>
      <c r="I23" s="30">
        <v>183</v>
      </c>
      <c r="J23" s="30" t="s">
        <v>258</v>
      </c>
      <c r="K23" s="25" t="str">
        <f t="shared" si="4"/>
        <v>AP-7022</v>
      </c>
      <c r="L23" s="25" t="str">
        <f t="shared" si="5"/>
        <v>CloudNet</v>
      </c>
      <c r="M23" s="26">
        <f t="shared" si="6"/>
        <v>45809</v>
      </c>
      <c r="N23" s="26">
        <f t="shared" si="10"/>
        <v>45839</v>
      </c>
      <c r="O23" s="27">
        <f t="shared" si="8"/>
        <v>185000</v>
      </c>
      <c r="P23" s="27">
        <f t="shared" si="11"/>
        <v>185000</v>
      </c>
      <c r="Q23" s="25">
        <f t="shared" si="0"/>
        <v>0</v>
      </c>
      <c r="R23" s="25">
        <f t="shared" ca="1" si="1"/>
        <v>0</v>
      </c>
      <c r="S23" s="25" t="str">
        <f t="shared" si="2"/>
        <v>Paid</v>
      </c>
      <c r="T23" s="25" t="str">
        <f t="shared" si="3"/>
        <v>Paid</v>
      </c>
    </row>
    <row r="24" spans="1:20" x14ac:dyDescent="0.25">
      <c r="A24" s="30" t="s">
        <v>361</v>
      </c>
      <c r="B24" s="30" t="s">
        <v>336</v>
      </c>
      <c r="C24" s="31">
        <v>45809</v>
      </c>
      <c r="D24" s="31">
        <v>45839</v>
      </c>
      <c r="E24" s="32">
        <v>210000</v>
      </c>
      <c r="F24" s="32">
        <v>0</v>
      </c>
      <c r="G24" s="32">
        <v>210000</v>
      </c>
      <c r="H24" s="30" t="s">
        <v>262</v>
      </c>
      <c r="I24" s="30">
        <v>183</v>
      </c>
      <c r="J24" s="30" t="s">
        <v>258</v>
      </c>
      <c r="K24" s="25" t="str">
        <f t="shared" si="4"/>
        <v>AP-7023</v>
      </c>
      <c r="L24" s="25" t="str">
        <f t="shared" si="5"/>
        <v>OfficeHub</v>
      </c>
      <c r="M24" s="26">
        <f t="shared" si="6"/>
        <v>45809</v>
      </c>
      <c r="N24" s="26">
        <f t="shared" si="10"/>
        <v>45839</v>
      </c>
      <c r="O24" s="27">
        <f t="shared" si="8"/>
        <v>210000</v>
      </c>
      <c r="P24" s="27">
        <f t="shared" si="11"/>
        <v>210000</v>
      </c>
      <c r="Q24" s="25">
        <f t="shared" si="0"/>
        <v>0</v>
      </c>
      <c r="R24" s="25">
        <f t="shared" ca="1" si="1"/>
        <v>0</v>
      </c>
      <c r="S24" s="25" t="str">
        <f t="shared" si="2"/>
        <v>Paid</v>
      </c>
      <c r="T24" s="25" t="str">
        <f t="shared" si="3"/>
        <v>Paid</v>
      </c>
    </row>
    <row r="25" spans="1:20" x14ac:dyDescent="0.25">
      <c r="A25" s="30" t="s">
        <v>362</v>
      </c>
      <c r="B25" s="30" t="s">
        <v>338</v>
      </c>
      <c r="C25" s="31">
        <v>45809</v>
      </c>
      <c r="D25" s="31">
        <v>45839</v>
      </c>
      <c r="E25" s="32">
        <v>235000</v>
      </c>
      <c r="F25" s="32">
        <v>235000</v>
      </c>
      <c r="G25" s="32">
        <v>0</v>
      </c>
      <c r="H25" s="30" t="s">
        <v>254</v>
      </c>
      <c r="I25" s="30">
        <v>0</v>
      </c>
      <c r="J25" s="30" t="s">
        <v>255</v>
      </c>
      <c r="K25" s="25" t="str">
        <f t="shared" si="4"/>
        <v>AP-7024</v>
      </c>
      <c r="L25" s="25" t="str">
        <f t="shared" si="5"/>
        <v>TravelPro</v>
      </c>
      <c r="M25" s="26">
        <f t="shared" si="6"/>
        <v>45809</v>
      </c>
      <c r="N25" s="26">
        <f t="shared" si="10"/>
        <v>45839</v>
      </c>
      <c r="O25" s="27">
        <f t="shared" si="8"/>
        <v>235000</v>
      </c>
      <c r="P25" s="27">
        <f t="shared" si="11"/>
        <v>235000</v>
      </c>
      <c r="Q25" s="25">
        <f t="shared" si="0"/>
        <v>0</v>
      </c>
      <c r="R25" s="25">
        <f t="shared" ca="1" si="1"/>
        <v>0</v>
      </c>
      <c r="S25" s="25" t="str">
        <f t="shared" si="2"/>
        <v>Paid</v>
      </c>
      <c r="T25" s="25" t="str">
        <f t="shared" si="3"/>
        <v>Paid</v>
      </c>
    </row>
    <row r="26" spans="1:20" x14ac:dyDescent="0.25">
      <c r="A26" s="30" t="s">
        <v>363</v>
      </c>
      <c r="B26" s="30" t="s">
        <v>334</v>
      </c>
      <c r="C26" s="31">
        <v>45839</v>
      </c>
      <c r="D26" s="31">
        <v>45869</v>
      </c>
      <c r="E26" s="32">
        <v>168000</v>
      </c>
      <c r="F26" s="32">
        <v>84000</v>
      </c>
      <c r="G26" s="32">
        <v>84000</v>
      </c>
      <c r="H26" s="30" t="s">
        <v>257</v>
      </c>
      <c r="I26" s="30">
        <v>153</v>
      </c>
      <c r="J26" s="30" t="s">
        <v>258</v>
      </c>
      <c r="K26" s="25" t="str">
        <f t="shared" si="4"/>
        <v>AP-7025</v>
      </c>
      <c r="L26" s="25" t="str">
        <f t="shared" si="5"/>
        <v>CloudNet</v>
      </c>
      <c r="M26" s="26">
        <f t="shared" si="6"/>
        <v>45839</v>
      </c>
      <c r="N26" s="26">
        <f t="shared" si="10"/>
        <v>45869</v>
      </c>
      <c r="O26" s="27">
        <f t="shared" si="8"/>
        <v>168000</v>
      </c>
      <c r="P26" s="27">
        <f t="shared" si="11"/>
        <v>168000</v>
      </c>
      <c r="Q26" s="25">
        <f t="shared" si="0"/>
        <v>0</v>
      </c>
      <c r="R26" s="25">
        <f t="shared" ca="1" si="1"/>
        <v>0</v>
      </c>
      <c r="S26" s="25" t="str">
        <f t="shared" si="2"/>
        <v>Paid</v>
      </c>
      <c r="T26" s="25" t="str">
        <f t="shared" si="3"/>
        <v>Paid</v>
      </c>
    </row>
    <row r="27" spans="1:20" x14ac:dyDescent="0.25">
      <c r="A27" s="30" t="s">
        <v>364</v>
      </c>
      <c r="B27" s="30" t="s">
        <v>336</v>
      </c>
      <c r="C27" s="31">
        <v>45839</v>
      </c>
      <c r="D27" s="31">
        <v>45869</v>
      </c>
      <c r="E27" s="32">
        <v>193000</v>
      </c>
      <c r="F27" s="32">
        <v>0</v>
      </c>
      <c r="G27" s="32">
        <v>193000</v>
      </c>
      <c r="H27" s="30" t="s">
        <v>262</v>
      </c>
      <c r="I27" s="30">
        <v>153</v>
      </c>
      <c r="J27" s="30" t="s">
        <v>258</v>
      </c>
      <c r="K27" s="25" t="str">
        <f t="shared" si="4"/>
        <v>AP-7026</v>
      </c>
      <c r="L27" s="25" t="str">
        <f t="shared" si="5"/>
        <v>OfficeHub</v>
      </c>
      <c r="M27" s="26">
        <f t="shared" si="6"/>
        <v>45839</v>
      </c>
      <c r="N27" s="26">
        <f t="shared" si="10"/>
        <v>45869</v>
      </c>
      <c r="O27" s="27">
        <f t="shared" si="8"/>
        <v>193000</v>
      </c>
      <c r="P27" s="27">
        <f t="shared" si="11"/>
        <v>193000</v>
      </c>
      <c r="Q27" s="25">
        <f t="shared" si="0"/>
        <v>0</v>
      </c>
      <c r="R27" s="25">
        <f t="shared" ca="1" si="1"/>
        <v>0</v>
      </c>
      <c r="S27" s="25" t="str">
        <f t="shared" si="2"/>
        <v>Paid</v>
      </c>
      <c r="T27" s="25" t="str">
        <f t="shared" si="3"/>
        <v>Paid</v>
      </c>
    </row>
    <row r="28" spans="1:20" x14ac:dyDescent="0.25">
      <c r="A28" s="30" t="s">
        <v>365</v>
      </c>
      <c r="B28" s="30" t="s">
        <v>338</v>
      </c>
      <c r="C28" s="31">
        <v>45839</v>
      </c>
      <c r="D28" s="31">
        <v>45869</v>
      </c>
      <c r="E28" s="32">
        <v>218000</v>
      </c>
      <c r="F28" s="32">
        <v>218000</v>
      </c>
      <c r="G28" s="32">
        <v>0</v>
      </c>
      <c r="H28" s="30" t="s">
        <v>254</v>
      </c>
      <c r="I28" s="30">
        <v>0</v>
      </c>
      <c r="J28" s="30" t="s">
        <v>255</v>
      </c>
      <c r="K28" s="25" t="str">
        <f t="shared" si="4"/>
        <v>AP-7027</v>
      </c>
      <c r="L28" s="25" t="str">
        <f t="shared" si="5"/>
        <v>TravelPro</v>
      </c>
      <c r="M28" s="26">
        <f t="shared" si="6"/>
        <v>45839</v>
      </c>
      <c r="N28" s="26">
        <f t="shared" si="10"/>
        <v>45869</v>
      </c>
      <c r="O28" s="27">
        <f t="shared" si="8"/>
        <v>218000</v>
      </c>
      <c r="P28" s="27">
        <f t="shared" si="11"/>
        <v>218000</v>
      </c>
      <c r="Q28" s="25">
        <f t="shared" si="0"/>
        <v>0</v>
      </c>
      <c r="R28" s="25">
        <f t="shared" ca="1" si="1"/>
        <v>0</v>
      </c>
      <c r="S28" s="25" t="str">
        <f t="shared" si="2"/>
        <v>Paid</v>
      </c>
      <c r="T28" s="25" t="str">
        <f t="shared" si="3"/>
        <v>Paid</v>
      </c>
    </row>
    <row r="29" spans="1:20" x14ac:dyDescent="0.25">
      <c r="A29" s="30" t="s">
        <v>366</v>
      </c>
      <c r="B29" s="30" t="s">
        <v>340</v>
      </c>
      <c r="C29" s="31">
        <v>45839</v>
      </c>
      <c r="D29" s="31">
        <v>45869</v>
      </c>
      <c r="E29" s="32">
        <v>243000</v>
      </c>
      <c r="F29" s="32">
        <v>194400</v>
      </c>
      <c r="G29" s="32">
        <v>48600</v>
      </c>
      <c r="H29" s="30" t="s">
        <v>257</v>
      </c>
      <c r="I29" s="30">
        <v>153</v>
      </c>
      <c r="J29" s="30" t="s">
        <v>258</v>
      </c>
      <c r="K29" s="25" t="str">
        <f t="shared" si="4"/>
        <v>AP-7028</v>
      </c>
      <c r="L29" s="25" t="str">
        <f t="shared" si="5"/>
        <v>SoftWorks</v>
      </c>
      <c r="M29" s="26">
        <f t="shared" si="6"/>
        <v>45839</v>
      </c>
      <c r="N29" s="26">
        <f t="shared" si="10"/>
        <v>45869</v>
      </c>
      <c r="O29" s="27">
        <f t="shared" si="8"/>
        <v>243000</v>
      </c>
      <c r="P29" s="27">
        <f t="shared" si="11"/>
        <v>243000</v>
      </c>
      <c r="Q29" s="25">
        <f t="shared" si="0"/>
        <v>0</v>
      </c>
      <c r="R29" s="25">
        <f t="shared" ca="1" si="1"/>
        <v>0</v>
      </c>
      <c r="S29" s="25" t="str">
        <f t="shared" si="2"/>
        <v>Paid</v>
      </c>
      <c r="T29" s="25" t="str">
        <f t="shared" si="3"/>
        <v>Paid</v>
      </c>
    </row>
    <row r="30" spans="1:20" x14ac:dyDescent="0.25">
      <c r="A30" s="30" t="s">
        <v>367</v>
      </c>
      <c r="B30" s="30" t="s">
        <v>336</v>
      </c>
      <c r="C30" s="31">
        <v>45870</v>
      </c>
      <c r="D30" s="31">
        <v>45900</v>
      </c>
      <c r="E30" s="32">
        <v>176000</v>
      </c>
      <c r="F30" s="32">
        <v>0</v>
      </c>
      <c r="G30" s="32">
        <v>176000</v>
      </c>
      <c r="H30" s="30" t="s">
        <v>262</v>
      </c>
      <c r="I30" s="30">
        <v>122</v>
      </c>
      <c r="J30" s="30" t="s">
        <v>258</v>
      </c>
      <c r="K30" s="25" t="str">
        <f t="shared" si="4"/>
        <v>AP-7029</v>
      </c>
      <c r="L30" s="25" t="str">
        <f t="shared" si="5"/>
        <v>OfficeHub</v>
      </c>
      <c r="M30" s="26">
        <f t="shared" si="6"/>
        <v>45870</v>
      </c>
      <c r="N30" s="26">
        <f t="shared" si="10"/>
        <v>45900</v>
      </c>
      <c r="O30" s="27">
        <f t="shared" si="8"/>
        <v>176000</v>
      </c>
      <c r="P30" s="27">
        <f t="shared" si="11"/>
        <v>176000</v>
      </c>
      <c r="Q30" s="25">
        <f t="shared" si="0"/>
        <v>0</v>
      </c>
      <c r="R30" s="25">
        <f t="shared" ca="1" si="1"/>
        <v>0</v>
      </c>
      <c r="S30" s="25" t="str">
        <f t="shared" si="2"/>
        <v>Paid</v>
      </c>
      <c r="T30" s="25" t="str">
        <f t="shared" si="3"/>
        <v>Paid</v>
      </c>
    </row>
    <row r="31" spans="1:20" x14ac:dyDescent="0.25">
      <c r="A31" s="30" t="s">
        <v>368</v>
      </c>
      <c r="B31" s="30" t="s">
        <v>338</v>
      </c>
      <c r="C31" s="31">
        <v>45870</v>
      </c>
      <c r="D31" s="31">
        <v>45900</v>
      </c>
      <c r="E31" s="32">
        <v>201000</v>
      </c>
      <c r="F31" s="32">
        <v>201000</v>
      </c>
      <c r="G31" s="32">
        <v>0</v>
      </c>
      <c r="H31" s="30" t="s">
        <v>254</v>
      </c>
      <c r="I31" s="30">
        <v>0</v>
      </c>
      <c r="J31" s="30" t="s">
        <v>255</v>
      </c>
      <c r="K31" s="25" t="str">
        <f t="shared" si="4"/>
        <v>AP-7030</v>
      </c>
      <c r="L31" s="25" t="str">
        <f t="shared" si="5"/>
        <v>TravelPro</v>
      </c>
      <c r="M31" s="26">
        <f t="shared" si="6"/>
        <v>45870</v>
      </c>
      <c r="N31" s="26">
        <f t="shared" si="10"/>
        <v>45900</v>
      </c>
      <c r="O31" s="27">
        <f t="shared" si="8"/>
        <v>201000</v>
      </c>
      <c r="P31" s="27">
        <f t="shared" si="11"/>
        <v>201000</v>
      </c>
      <c r="Q31" s="25">
        <f t="shared" si="0"/>
        <v>0</v>
      </c>
      <c r="R31" s="25">
        <f t="shared" ca="1" si="1"/>
        <v>0</v>
      </c>
      <c r="S31" s="25" t="str">
        <f t="shared" si="2"/>
        <v>Paid</v>
      </c>
      <c r="T31" s="25" t="str">
        <f t="shared" si="3"/>
        <v>Paid</v>
      </c>
    </row>
    <row r="32" spans="1:20" x14ac:dyDescent="0.25">
      <c r="A32" s="30" t="s">
        <v>369</v>
      </c>
      <c r="B32" s="30" t="s">
        <v>340</v>
      </c>
      <c r="C32" s="31">
        <v>45870</v>
      </c>
      <c r="D32" s="31">
        <v>45900</v>
      </c>
      <c r="E32" s="32">
        <v>226000</v>
      </c>
      <c r="F32" s="32">
        <v>180800</v>
      </c>
      <c r="G32" s="32">
        <v>45200</v>
      </c>
      <c r="H32" s="30" t="s">
        <v>257</v>
      </c>
      <c r="I32" s="30">
        <v>122</v>
      </c>
      <c r="J32" s="30" t="s">
        <v>258</v>
      </c>
      <c r="K32" s="25" t="str">
        <f t="shared" si="4"/>
        <v>AP-7031</v>
      </c>
      <c r="L32" s="25" t="str">
        <f t="shared" si="5"/>
        <v>SoftWorks</v>
      </c>
      <c r="M32" s="26">
        <f t="shared" si="6"/>
        <v>45870</v>
      </c>
      <c r="N32" s="26">
        <f t="shared" si="10"/>
        <v>45900</v>
      </c>
      <c r="O32" s="27">
        <f t="shared" si="8"/>
        <v>226000</v>
      </c>
      <c r="P32" s="27">
        <f t="shared" si="11"/>
        <v>226000</v>
      </c>
      <c r="Q32" s="25">
        <f t="shared" si="0"/>
        <v>0</v>
      </c>
      <c r="R32" s="25">
        <f t="shared" ca="1" si="1"/>
        <v>0</v>
      </c>
      <c r="S32" s="25" t="str">
        <f t="shared" si="2"/>
        <v>Paid</v>
      </c>
      <c r="T32" s="25" t="str">
        <f t="shared" si="3"/>
        <v>Paid</v>
      </c>
    </row>
    <row r="33" spans="1:20" x14ac:dyDescent="0.25">
      <c r="A33" s="30" t="s">
        <v>370</v>
      </c>
      <c r="B33" s="30" t="s">
        <v>345</v>
      </c>
      <c r="C33" s="31">
        <v>45870</v>
      </c>
      <c r="D33" s="31">
        <v>45900</v>
      </c>
      <c r="E33" s="32">
        <v>251000</v>
      </c>
      <c r="F33" s="32">
        <v>125500</v>
      </c>
      <c r="G33" s="32">
        <v>125500</v>
      </c>
      <c r="H33" s="30" t="s">
        <v>257</v>
      </c>
      <c r="I33" s="30">
        <v>122</v>
      </c>
      <c r="J33" s="30" t="s">
        <v>258</v>
      </c>
      <c r="K33" s="25" t="str">
        <f t="shared" si="4"/>
        <v>AP-7032</v>
      </c>
      <c r="L33" s="25" t="str">
        <f t="shared" si="5"/>
        <v>UtilityCo</v>
      </c>
      <c r="M33" s="26">
        <f t="shared" si="6"/>
        <v>45870</v>
      </c>
      <c r="N33" s="26">
        <f t="shared" si="10"/>
        <v>45900</v>
      </c>
      <c r="O33" s="27">
        <f t="shared" si="8"/>
        <v>251000</v>
      </c>
      <c r="P33" s="27">
        <f t="shared" si="11"/>
        <v>251000</v>
      </c>
      <c r="Q33" s="25">
        <f t="shared" si="0"/>
        <v>0</v>
      </c>
      <c r="R33" s="25">
        <f t="shared" ca="1" si="1"/>
        <v>0</v>
      </c>
      <c r="S33" s="25" t="str">
        <f t="shared" si="2"/>
        <v>Paid</v>
      </c>
      <c r="T33" s="25" t="str">
        <f t="shared" si="3"/>
        <v>Paid</v>
      </c>
    </row>
    <row r="34" spans="1:20" x14ac:dyDescent="0.25">
      <c r="A34" s="30" t="s">
        <v>371</v>
      </c>
      <c r="B34" s="30" t="s">
        <v>338</v>
      </c>
      <c r="C34" s="31">
        <v>45901</v>
      </c>
      <c r="D34" s="31">
        <v>45931</v>
      </c>
      <c r="E34" s="32">
        <v>184000</v>
      </c>
      <c r="F34" s="32">
        <v>184000</v>
      </c>
      <c r="G34" s="32">
        <v>0</v>
      </c>
      <c r="H34" s="30" t="s">
        <v>254</v>
      </c>
      <c r="I34" s="30">
        <v>0</v>
      </c>
      <c r="J34" s="30" t="s">
        <v>255</v>
      </c>
      <c r="K34" s="25" t="str">
        <f t="shared" si="4"/>
        <v>AP-7033</v>
      </c>
      <c r="L34" s="25" t="str">
        <f t="shared" si="5"/>
        <v>TravelPro</v>
      </c>
      <c r="M34" s="26">
        <f t="shared" si="6"/>
        <v>45901</v>
      </c>
      <c r="N34" s="26">
        <f t="shared" si="10"/>
        <v>45931</v>
      </c>
      <c r="O34" s="27">
        <f t="shared" si="8"/>
        <v>184000</v>
      </c>
      <c r="P34" s="27">
        <f t="shared" si="11"/>
        <v>184000</v>
      </c>
      <c r="Q34" s="25">
        <f t="shared" si="0"/>
        <v>0</v>
      </c>
      <c r="R34" s="25">
        <f t="shared" ca="1" si="1"/>
        <v>0</v>
      </c>
      <c r="S34" s="25" t="str">
        <f t="shared" si="2"/>
        <v>Paid</v>
      </c>
      <c r="T34" s="25" t="str">
        <f t="shared" si="3"/>
        <v>Paid</v>
      </c>
    </row>
    <row r="35" spans="1:20" x14ac:dyDescent="0.25">
      <c r="A35" s="30" t="s">
        <v>372</v>
      </c>
      <c r="B35" s="30" t="s">
        <v>340</v>
      </c>
      <c r="C35" s="31">
        <v>45901</v>
      </c>
      <c r="D35" s="31">
        <v>45931</v>
      </c>
      <c r="E35" s="32">
        <v>209000</v>
      </c>
      <c r="F35" s="32">
        <v>167200</v>
      </c>
      <c r="G35" s="32">
        <v>41800</v>
      </c>
      <c r="H35" s="30" t="s">
        <v>257</v>
      </c>
      <c r="I35" s="30">
        <v>91</v>
      </c>
      <c r="J35" s="30" t="s">
        <v>258</v>
      </c>
      <c r="K35" s="25" t="str">
        <f t="shared" si="4"/>
        <v>AP-7034</v>
      </c>
      <c r="L35" s="25" t="str">
        <f t="shared" si="5"/>
        <v>SoftWorks</v>
      </c>
      <c r="M35" s="26">
        <f t="shared" si="6"/>
        <v>45901</v>
      </c>
      <c r="N35" s="26">
        <f t="shared" si="10"/>
        <v>45931</v>
      </c>
      <c r="O35" s="27">
        <f t="shared" si="8"/>
        <v>209000</v>
      </c>
      <c r="P35" s="27">
        <f t="shared" si="11"/>
        <v>209000</v>
      </c>
      <c r="Q35" s="25">
        <f t="shared" si="0"/>
        <v>0</v>
      </c>
      <c r="R35" s="25">
        <f t="shared" ca="1" si="1"/>
        <v>0</v>
      </c>
      <c r="S35" s="25" t="str">
        <f t="shared" si="2"/>
        <v>Paid</v>
      </c>
      <c r="T35" s="25" t="str">
        <f t="shared" si="3"/>
        <v>Paid</v>
      </c>
    </row>
    <row r="36" spans="1:20" x14ac:dyDescent="0.25">
      <c r="A36" s="30" t="s">
        <v>373</v>
      </c>
      <c r="B36" s="30" t="s">
        <v>345</v>
      </c>
      <c r="C36" s="31">
        <v>45901</v>
      </c>
      <c r="D36" s="31">
        <v>45931</v>
      </c>
      <c r="E36" s="32">
        <v>234000</v>
      </c>
      <c r="F36" s="32">
        <v>117000</v>
      </c>
      <c r="G36" s="32">
        <v>117000</v>
      </c>
      <c r="H36" s="30" t="s">
        <v>257</v>
      </c>
      <c r="I36" s="30">
        <v>91</v>
      </c>
      <c r="J36" s="30" t="s">
        <v>258</v>
      </c>
      <c r="K36" s="25" t="str">
        <f t="shared" si="4"/>
        <v>AP-7035</v>
      </c>
      <c r="L36" s="25" t="str">
        <f t="shared" si="5"/>
        <v>UtilityCo</v>
      </c>
      <c r="M36" s="26">
        <f t="shared" si="6"/>
        <v>45901</v>
      </c>
      <c r="N36" s="26">
        <f t="shared" si="10"/>
        <v>45931</v>
      </c>
      <c r="O36" s="27">
        <f t="shared" si="8"/>
        <v>234000</v>
      </c>
      <c r="P36" s="27">
        <f t="shared" si="11"/>
        <v>234000</v>
      </c>
      <c r="Q36" s="25">
        <f t="shared" si="0"/>
        <v>0</v>
      </c>
      <c r="R36" s="25">
        <f t="shared" ca="1" si="1"/>
        <v>0</v>
      </c>
      <c r="S36" s="25" t="str">
        <f t="shared" si="2"/>
        <v>Paid</v>
      </c>
      <c r="T36" s="25" t="str">
        <f t="shared" si="3"/>
        <v>Paid</v>
      </c>
    </row>
    <row r="37" spans="1:20" x14ac:dyDescent="0.25">
      <c r="A37" s="30" t="s">
        <v>374</v>
      </c>
      <c r="B37" s="30" t="s">
        <v>350</v>
      </c>
      <c r="C37" s="31">
        <v>45901</v>
      </c>
      <c r="D37" s="31">
        <v>45931</v>
      </c>
      <c r="E37" s="32">
        <v>259000</v>
      </c>
      <c r="F37" s="32">
        <v>0</v>
      </c>
      <c r="G37" s="32">
        <v>259000</v>
      </c>
      <c r="H37" s="30" t="s">
        <v>262</v>
      </c>
      <c r="I37" s="30">
        <v>91</v>
      </c>
      <c r="J37" s="30" t="s">
        <v>258</v>
      </c>
      <c r="K37" s="25" t="str">
        <f t="shared" si="4"/>
        <v>AP-7036</v>
      </c>
      <c r="L37" s="25" t="str">
        <f t="shared" si="5"/>
        <v>InfraServe</v>
      </c>
      <c r="M37" s="26">
        <f t="shared" si="6"/>
        <v>45901</v>
      </c>
      <c r="N37" s="26">
        <f t="shared" si="10"/>
        <v>45931</v>
      </c>
      <c r="O37" s="27">
        <f t="shared" si="8"/>
        <v>259000</v>
      </c>
      <c r="P37" s="27">
        <f t="shared" si="11"/>
        <v>259000</v>
      </c>
      <c r="Q37" s="25">
        <f t="shared" si="0"/>
        <v>0</v>
      </c>
      <c r="R37" s="25">
        <f t="shared" ca="1" si="1"/>
        <v>0</v>
      </c>
      <c r="S37" s="25" t="str">
        <f t="shared" si="2"/>
        <v>Paid</v>
      </c>
      <c r="T37" s="25" t="str">
        <f t="shared" si="3"/>
        <v>Paid</v>
      </c>
    </row>
    <row r="38" spans="1:20" x14ac:dyDescent="0.25">
      <c r="A38" s="30" t="s">
        <v>375</v>
      </c>
      <c r="B38" s="30" t="s">
        <v>340</v>
      </c>
      <c r="C38" s="31">
        <v>45931</v>
      </c>
      <c r="D38" s="31">
        <v>45961</v>
      </c>
      <c r="E38" s="32">
        <v>192000</v>
      </c>
      <c r="F38" s="32">
        <v>153600</v>
      </c>
      <c r="G38" s="32">
        <v>38400</v>
      </c>
      <c r="H38" s="30" t="s">
        <v>257</v>
      </c>
      <c r="I38" s="30">
        <v>61</v>
      </c>
      <c r="J38" s="30" t="s">
        <v>304</v>
      </c>
      <c r="K38" s="25" t="str">
        <f t="shared" si="4"/>
        <v>AP-7037</v>
      </c>
      <c r="L38" s="25" t="str">
        <f t="shared" si="5"/>
        <v>SoftWorks</v>
      </c>
      <c r="M38" s="26">
        <f t="shared" si="6"/>
        <v>45931</v>
      </c>
      <c r="N38" s="26">
        <f t="shared" si="10"/>
        <v>45961</v>
      </c>
      <c r="O38" s="27">
        <f t="shared" si="8"/>
        <v>192000</v>
      </c>
      <c r="P38" s="27">
        <f t="shared" si="11"/>
        <v>192000</v>
      </c>
      <c r="Q38" s="25">
        <f t="shared" si="0"/>
        <v>0</v>
      </c>
      <c r="R38" s="25">
        <f t="shared" ca="1" si="1"/>
        <v>0</v>
      </c>
      <c r="S38" s="25" t="str">
        <f t="shared" si="2"/>
        <v>Paid</v>
      </c>
      <c r="T38" s="25" t="str">
        <f t="shared" si="3"/>
        <v>Paid</v>
      </c>
    </row>
    <row r="39" spans="1:20" x14ac:dyDescent="0.25">
      <c r="A39" s="30" t="s">
        <v>376</v>
      </c>
      <c r="B39" s="30" t="s">
        <v>345</v>
      </c>
      <c r="C39" s="31">
        <v>45931</v>
      </c>
      <c r="D39" s="31">
        <v>45961</v>
      </c>
      <c r="E39" s="32">
        <v>217000</v>
      </c>
      <c r="F39" s="32">
        <v>108500</v>
      </c>
      <c r="G39" s="32">
        <v>108500</v>
      </c>
      <c r="H39" s="30" t="s">
        <v>257</v>
      </c>
      <c r="I39" s="30">
        <v>61</v>
      </c>
      <c r="J39" s="30" t="s">
        <v>304</v>
      </c>
      <c r="K39" s="25" t="str">
        <f t="shared" si="4"/>
        <v>AP-7038</v>
      </c>
      <c r="L39" s="25" t="str">
        <f t="shared" si="5"/>
        <v>UtilityCo</v>
      </c>
      <c r="M39" s="26">
        <f t="shared" si="6"/>
        <v>45931</v>
      </c>
      <c r="N39" s="26">
        <f t="shared" si="10"/>
        <v>45961</v>
      </c>
      <c r="O39" s="27">
        <f t="shared" si="8"/>
        <v>217000</v>
      </c>
      <c r="P39" s="27">
        <f t="shared" si="11"/>
        <v>217000</v>
      </c>
      <c r="Q39" s="25">
        <f t="shared" si="0"/>
        <v>0</v>
      </c>
      <c r="R39" s="25">
        <f t="shared" ca="1" si="1"/>
        <v>0</v>
      </c>
      <c r="S39" s="25" t="str">
        <f t="shared" si="2"/>
        <v>Paid</v>
      </c>
      <c r="T39" s="25" t="str">
        <f t="shared" si="3"/>
        <v>Paid</v>
      </c>
    </row>
    <row r="40" spans="1:20" x14ac:dyDescent="0.25">
      <c r="A40" s="30" t="s">
        <v>377</v>
      </c>
      <c r="B40" s="30" t="s">
        <v>350</v>
      </c>
      <c r="C40" s="31">
        <v>45931</v>
      </c>
      <c r="D40" s="31">
        <v>45961</v>
      </c>
      <c r="E40" s="32">
        <v>242000</v>
      </c>
      <c r="F40" s="32">
        <v>0</v>
      </c>
      <c r="G40" s="32">
        <v>242000</v>
      </c>
      <c r="H40" s="30" t="s">
        <v>262</v>
      </c>
      <c r="I40" s="30">
        <v>61</v>
      </c>
      <c r="J40" s="30" t="s">
        <v>304</v>
      </c>
      <c r="K40" s="25" t="str">
        <f t="shared" si="4"/>
        <v>AP-7039</v>
      </c>
      <c r="L40" s="25" t="str">
        <f t="shared" si="5"/>
        <v>InfraServe</v>
      </c>
      <c r="M40" s="26">
        <f t="shared" si="6"/>
        <v>45931</v>
      </c>
      <c r="N40" s="26">
        <f t="shared" si="10"/>
        <v>45961</v>
      </c>
      <c r="O40" s="27">
        <f t="shared" si="8"/>
        <v>242000</v>
      </c>
      <c r="P40" s="27">
        <f t="shared" si="11"/>
        <v>242000</v>
      </c>
      <c r="Q40" s="25">
        <f t="shared" si="0"/>
        <v>0</v>
      </c>
      <c r="R40" s="25">
        <f t="shared" ca="1" si="1"/>
        <v>0</v>
      </c>
      <c r="S40" s="25" t="str">
        <f t="shared" si="2"/>
        <v>Paid</v>
      </c>
      <c r="T40" s="25" t="str">
        <f t="shared" si="3"/>
        <v>Paid</v>
      </c>
    </row>
    <row r="41" spans="1:20" x14ac:dyDescent="0.25">
      <c r="A41" s="30" t="s">
        <v>378</v>
      </c>
      <c r="B41" s="30" t="s">
        <v>334</v>
      </c>
      <c r="C41" s="31">
        <v>45931</v>
      </c>
      <c r="D41" s="31">
        <v>45961</v>
      </c>
      <c r="E41" s="32">
        <v>267000</v>
      </c>
      <c r="F41" s="32">
        <v>267000</v>
      </c>
      <c r="G41" s="32">
        <v>0</v>
      </c>
      <c r="H41" s="30" t="s">
        <v>254</v>
      </c>
      <c r="I41" s="30">
        <v>0</v>
      </c>
      <c r="J41" s="30" t="s">
        <v>255</v>
      </c>
      <c r="K41" s="25" t="str">
        <f t="shared" si="4"/>
        <v>AP-7040</v>
      </c>
      <c r="L41" s="25" t="str">
        <f t="shared" si="5"/>
        <v>CloudNet</v>
      </c>
      <c r="M41" s="26">
        <f t="shared" si="6"/>
        <v>45931</v>
      </c>
      <c r="N41" s="26">
        <f t="shared" si="10"/>
        <v>45961</v>
      </c>
      <c r="O41" s="27">
        <f t="shared" si="8"/>
        <v>267000</v>
      </c>
      <c r="P41" s="27">
        <f t="shared" si="11"/>
        <v>267000</v>
      </c>
      <c r="Q41" s="25">
        <f t="shared" si="0"/>
        <v>0</v>
      </c>
      <c r="R41" s="25">
        <f t="shared" ca="1" si="1"/>
        <v>0</v>
      </c>
      <c r="S41" s="25" t="str">
        <f t="shared" si="2"/>
        <v>Paid</v>
      </c>
      <c r="T41" s="25" t="str">
        <f t="shared" si="3"/>
        <v>Paid</v>
      </c>
    </row>
    <row r="42" spans="1:20" x14ac:dyDescent="0.25">
      <c r="A42" s="30" t="s">
        <v>379</v>
      </c>
      <c r="B42" s="30" t="s">
        <v>345</v>
      </c>
      <c r="C42" s="31">
        <v>45962</v>
      </c>
      <c r="D42" s="31">
        <v>45992</v>
      </c>
      <c r="E42" s="32">
        <v>200000</v>
      </c>
      <c r="F42" s="32">
        <v>100000</v>
      </c>
      <c r="G42" s="32">
        <v>100000</v>
      </c>
      <c r="H42" s="30" t="s">
        <v>257</v>
      </c>
      <c r="I42" s="30">
        <v>30</v>
      </c>
      <c r="J42" s="30" t="s">
        <v>255</v>
      </c>
      <c r="K42" s="25" t="str">
        <f t="shared" si="4"/>
        <v>AP-7041</v>
      </c>
      <c r="L42" s="25" t="str">
        <f t="shared" si="5"/>
        <v>UtilityCo</v>
      </c>
      <c r="M42" s="26">
        <f t="shared" si="6"/>
        <v>45962</v>
      </c>
      <c r="N42" s="26">
        <f t="shared" si="10"/>
        <v>45992</v>
      </c>
      <c r="O42" s="27">
        <f t="shared" si="8"/>
        <v>200000</v>
      </c>
      <c r="P42" s="27">
        <f t="shared" si="11"/>
        <v>200000</v>
      </c>
      <c r="Q42" s="25">
        <f t="shared" si="0"/>
        <v>0</v>
      </c>
      <c r="R42" s="25">
        <f t="shared" ca="1" si="1"/>
        <v>0</v>
      </c>
      <c r="S42" s="25" t="str">
        <f t="shared" si="2"/>
        <v>Paid</v>
      </c>
      <c r="T42" s="25" t="str">
        <f t="shared" si="3"/>
        <v>Paid</v>
      </c>
    </row>
    <row r="43" spans="1:20" x14ac:dyDescent="0.25">
      <c r="A43" s="30" t="s">
        <v>380</v>
      </c>
      <c r="B43" s="30" t="s">
        <v>350</v>
      </c>
      <c r="C43" s="31">
        <v>45962</v>
      </c>
      <c r="D43" s="31">
        <v>45992</v>
      </c>
      <c r="E43" s="32">
        <v>225000</v>
      </c>
      <c r="F43" s="32">
        <v>0</v>
      </c>
      <c r="G43" s="32">
        <v>225000</v>
      </c>
      <c r="H43" s="30" t="s">
        <v>262</v>
      </c>
      <c r="I43" s="30">
        <v>30</v>
      </c>
      <c r="J43" s="30" t="s">
        <v>255</v>
      </c>
      <c r="K43" s="25" t="str">
        <f t="shared" si="4"/>
        <v>AP-7042</v>
      </c>
      <c r="L43" s="25" t="str">
        <f t="shared" si="5"/>
        <v>InfraServe</v>
      </c>
      <c r="M43" s="26">
        <f t="shared" si="6"/>
        <v>45962</v>
      </c>
      <c r="N43" s="26">
        <f t="shared" si="10"/>
        <v>45992</v>
      </c>
      <c r="O43" s="27">
        <f t="shared" si="8"/>
        <v>225000</v>
      </c>
      <c r="P43" s="27">
        <f t="shared" si="11"/>
        <v>225000</v>
      </c>
      <c r="Q43" s="25">
        <f t="shared" si="0"/>
        <v>0</v>
      </c>
      <c r="R43" s="25">
        <f t="shared" ca="1" si="1"/>
        <v>0</v>
      </c>
      <c r="S43" s="25" t="str">
        <f t="shared" si="2"/>
        <v>Paid</v>
      </c>
      <c r="T43" s="25" t="str">
        <f t="shared" si="3"/>
        <v>Paid</v>
      </c>
    </row>
    <row r="44" spans="1:20" x14ac:dyDescent="0.25">
      <c r="A44" s="30" t="s">
        <v>381</v>
      </c>
      <c r="B44" s="30" t="s">
        <v>334</v>
      </c>
      <c r="C44" s="31">
        <v>45962</v>
      </c>
      <c r="D44" s="31">
        <v>45992</v>
      </c>
      <c r="E44" s="32">
        <v>250000</v>
      </c>
      <c r="F44" s="32">
        <v>250000</v>
      </c>
      <c r="G44" s="32">
        <v>0</v>
      </c>
      <c r="H44" s="30" t="s">
        <v>254</v>
      </c>
      <c r="I44" s="30">
        <v>0</v>
      </c>
      <c r="J44" s="30" t="s">
        <v>255</v>
      </c>
      <c r="K44" s="25" t="str">
        <f t="shared" si="4"/>
        <v>AP-7043</v>
      </c>
      <c r="L44" s="25" t="str">
        <f t="shared" si="5"/>
        <v>CloudNet</v>
      </c>
      <c r="M44" s="26">
        <f t="shared" si="6"/>
        <v>45962</v>
      </c>
      <c r="N44" s="26">
        <f t="shared" si="10"/>
        <v>45992</v>
      </c>
      <c r="O44" s="27">
        <f t="shared" si="8"/>
        <v>250000</v>
      </c>
      <c r="P44" s="27">
        <f t="shared" si="11"/>
        <v>250000</v>
      </c>
      <c r="Q44" s="25">
        <f t="shared" si="0"/>
        <v>0</v>
      </c>
      <c r="R44" s="25">
        <f t="shared" ca="1" si="1"/>
        <v>0</v>
      </c>
      <c r="S44" s="25" t="str">
        <f t="shared" si="2"/>
        <v>Paid</v>
      </c>
      <c r="T44" s="25" t="str">
        <f t="shared" si="3"/>
        <v>Paid</v>
      </c>
    </row>
    <row r="45" spans="1:20" x14ac:dyDescent="0.25">
      <c r="A45" s="30" t="s">
        <v>382</v>
      </c>
      <c r="B45" s="30" t="s">
        <v>336</v>
      </c>
      <c r="C45" s="31">
        <v>45962</v>
      </c>
      <c r="D45" s="31">
        <v>45992</v>
      </c>
      <c r="E45" s="32">
        <v>275000</v>
      </c>
      <c r="F45" s="32">
        <v>220000</v>
      </c>
      <c r="G45" s="32">
        <v>55000</v>
      </c>
      <c r="H45" s="30" t="s">
        <v>257</v>
      </c>
      <c r="I45" s="30">
        <v>30</v>
      </c>
      <c r="J45" s="30" t="s">
        <v>255</v>
      </c>
      <c r="K45" s="25" t="str">
        <f t="shared" si="4"/>
        <v>AP-7044</v>
      </c>
      <c r="L45" s="25" t="str">
        <f t="shared" si="5"/>
        <v>OfficeHub</v>
      </c>
      <c r="M45" s="26">
        <f t="shared" si="6"/>
        <v>45962</v>
      </c>
      <c r="N45" s="26">
        <f t="shared" si="10"/>
        <v>45992</v>
      </c>
      <c r="O45" s="27">
        <f t="shared" si="8"/>
        <v>275000</v>
      </c>
      <c r="P45" s="27">
        <f t="shared" si="11"/>
        <v>275000</v>
      </c>
      <c r="Q45" s="25">
        <f t="shared" si="0"/>
        <v>0</v>
      </c>
      <c r="R45" s="25">
        <f t="shared" ca="1" si="1"/>
        <v>0</v>
      </c>
      <c r="S45" s="25" t="str">
        <f t="shared" si="2"/>
        <v>Paid</v>
      </c>
      <c r="T45" s="25" t="str">
        <f t="shared" si="3"/>
        <v>Paid</v>
      </c>
    </row>
    <row r="46" spans="1:20" x14ac:dyDescent="0.25">
      <c r="A46" s="30" t="s">
        <v>383</v>
      </c>
      <c r="B46" s="30" t="s">
        <v>350</v>
      </c>
      <c r="C46" s="31">
        <v>45992</v>
      </c>
      <c r="D46" s="31">
        <v>46022</v>
      </c>
      <c r="E46" s="32">
        <v>208000</v>
      </c>
      <c r="F46" s="32">
        <v>0</v>
      </c>
      <c r="G46" s="32">
        <v>208000</v>
      </c>
      <c r="H46" s="30" t="s">
        <v>262</v>
      </c>
      <c r="I46" s="30">
        <v>0</v>
      </c>
      <c r="J46" s="30" t="s">
        <v>255</v>
      </c>
      <c r="K46" s="25" t="str">
        <f t="shared" si="4"/>
        <v>AP-7045</v>
      </c>
      <c r="L46" s="25" t="str">
        <f t="shared" si="5"/>
        <v>InfraServe</v>
      </c>
      <c r="M46" s="26">
        <f t="shared" si="6"/>
        <v>45992</v>
      </c>
      <c r="N46" s="26">
        <f t="shared" si="10"/>
        <v>46022</v>
      </c>
      <c r="O46" s="27">
        <f t="shared" si="8"/>
        <v>208000</v>
      </c>
      <c r="P46" s="27">
        <f t="shared" si="11"/>
        <v>208000</v>
      </c>
      <c r="Q46" s="25">
        <f t="shared" si="0"/>
        <v>0</v>
      </c>
      <c r="R46" s="25">
        <f t="shared" ca="1" si="1"/>
        <v>0</v>
      </c>
      <c r="S46" s="25" t="str">
        <f t="shared" si="2"/>
        <v>Paid</v>
      </c>
      <c r="T46" s="25" t="str">
        <f t="shared" si="3"/>
        <v>Paid</v>
      </c>
    </row>
    <row r="47" spans="1:20" x14ac:dyDescent="0.25">
      <c r="A47" s="30" t="s">
        <v>384</v>
      </c>
      <c r="B47" s="30" t="s">
        <v>334</v>
      </c>
      <c r="C47" s="31">
        <v>45992</v>
      </c>
      <c r="D47" s="31">
        <v>46022</v>
      </c>
      <c r="E47" s="32">
        <v>233000</v>
      </c>
      <c r="F47" s="32">
        <v>233000</v>
      </c>
      <c r="G47" s="32">
        <v>0</v>
      </c>
      <c r="H47" s="30" t="s">
        <v>254</v>
      </c>
      <c r="I47" s="30">
        <v>0</v>
      </c>
      <c r="J47" s="30" t="s">
        <v>255</v>
      </c>
      <c r="K47" s="25" t="str">
        <f t="shared" si="4"/>
        <v>AP-7046</v>
      </c>
      <c r="L47" s="25" t="str">
        <f t="shared" si="5"/>
        <v>CloudNet</v>
      </c>
      <c r="M47" s="26">
        <f t="shared" si="6"/>
        <v>45992</v>
      </c>
      <c r="N47" s="26">
        <f t="shared" si="10"/>
        <v>46022</v>
      </c>
      <c r="O47" s="27">
        <f t="shared" si="8"/>
        <v>233000</v>
      </c>
      <c r="P47" s="27">
        <f t="shared" si="11"/>
        <v>233000</v>
      </c>
      <c r="Q47" s="25">
        <f t="shared" si="0"/>
        <v>0</v>
      </c>
      <c r="R47" s="25">
        <f t="shared" ca="1" si="1"/>
        <v>0</v>
      </c>
      <c r="S47" s="25" t="str">
        <f t="shared" si="2"/>
        <v>Paid</v>
      </c>
      <c r="T47" s="25" t="str">
        <f t="shared" si="3"/>
        <v>Paid</v>
      </c>
    </row>
    <row r="48" spans="1:20" x14ac:dyDescent="0.25">
      <c r="A48" s="30" t="s">
        <v>385</v>
      </c>
      <c r="B48" s="30" t="s">
        <v>336</v>
      </c>
      <c r="C48" s="31">
        <v>45992</v>
      </c>
      <c r="D48" s="31">
        <v>46022</v>
      </c>
      <c r="E48" s="32">
        <v>258000</v>
      </c>
      <c r="F48" s="32">
        <v>206400</v>
      </c>
      <c r="G48" s="32">
        <v>51600</v>
      </c>
      <c r="H48" s="30" t="s">
        <v>257</v>
      </c>
      <c r="I48" s="30">
        <v>0</v>
      </c>
      <c r="J48" s="30" t="s">
        <v>255</v>
      </c>
      <c r="K48" s="25" t="str">
        <f t="shared" si="4"/>
        <v>AP-7047</v>
      </c>
      <c r="L48" s="25" t="str">
        <f t="shared" si="5"/>
        <v>OfficeHub</v>
      </c>
      <c r="M48" s="26">
        <f t="shared" si="6"/>
        <v>45992</v>
      </c>
      <c r="N48" s="26">
        <f t="shared" si="10"/>
        <v>46022</v>
      </c>
      <c r="O48" s="27">
        <f t="shared" si="8"/>
        <v>258000</v>
      </c>
      <c r="P48" s="27">
        <f t="shared" si="11"/>
        <v>258000</v>
      </c>
      <c r="Q48" s="25">
        <f t="shared" si="0"/>
        <v>0</v>
      </c>
      <c r="R48" s="25">
        <f t="shared" ca="1" si="1"/>
        <v>0</v>
      </c>
      <c r="S48" s="25" t="str">
        <f t="shared" si="2"/>
        <v>Paid</v>
      </c>
      <c r="T48" s="25" t="str">
        <f t="shared" si="3"/>
        <v>Paid</v>
      </c>
    </row>
    <row r="49" spans="1:20" x14ac:dyDescent="0.25">
      <c r="A49" s="30" t="s">
        <v>386</v>
      </c>
      <c r="B49" s="30" t="s">
        <v>338</v>
      </c>
      <c r="C49" s="31">
        <v>45992</v>
      </c>
      <c r="D49" s="31">
        <v>46022</v>
      </c>
      <c r="E49" s="32">
        <v>283000</v>
      </c>
      <c r="F49" s="32">
        <v>141500</v>
      </c>
      <c r="G49" s="32">
        <v>141500</v>
      </c>
      <c r="H49" s="30" t="s">
        <v>257</v>
      </c>
      <c r="I49" s="30">
        <v>0</v>
      </c>
      <c r="J49" s="30" t="s">
        <v>255</v>
      </c>
      <c r="K49" s="25" t="str">
        <f t="shared" si="4"/>
        <v>AP-7048</v>
      </c>
      <c r="L49" s="25" t="str">
        <f t="shared" si="5"/>
        <v>TravelPro</v>
      </c>
      <c r="M49" s="26">
        <f t="shared" si="6"/>
        <v>45992</v>
      </c>
      <c r="N49" s="26">
        <f t="shared" si="10"/>
        <v>46022</v>
      </c>
      <c r="O49" s="27">
        <f t="shared" si="8"/>
        <v>283000</v>
      </c>
      <c r="P49" s="27">
        <f t="shared" si="11"/>
        <v>283000</v>
      </c>
      <c r="Q49" s="25">
        <f t="shared" si="0"/>
        <v>0</v>
      </c>
      <c r="R49" s="25">
        <f t="shared" ca="1" si="1"/>
        <v>0</v>
      </c>
      <c r="S49" s="25" t="str">
        <f t="shared" si="2"/>
        <v>Paid</v>
      </c>
      <c r="T49" s="25" t="str">
        <f t="shared" si="3"/>
        <v>Paid</v>
      </c>
    </row>
    <row r="50" spans="1:20" x14ac:dyDescent="0.25">
      <c r="M50" s="22"/>
    </row>
    <row r="52" spans="1:20" ht="15.75" x14ac:dyDescent="0.25">
      <c r="A52" s="16" t="s">
        <v>387</v>
      </c>
    </row>
    <row r="53" spans="1:20" x14ac:dyDescent="0.25">
      <c r="A53" s="6" t="s">
        <v>388</v>
      </c>
      <c r="B53" s="7">
        <f>SUM(O2:O52)</f>
        <v>9672000</v>
      </c>
    </row>
    <row r="54" spans="1:20" x14ac:dyDescent="0.25">
      <c r="A54" s="6" t="s">
        <v>389</v>
      </c>
      <c r="B54" s="7">
        <f>SUM(P2:P52)</f>
        <v>9672000</v>
      </c>
    </row>
    <row r="55" spans="1:20" x14ac:dyDescent="0.25">
      <c r="A55" s="6" t="s">
        <v>322</v>
      </c>
      <c r="B55" s="7">
        <f>SUM(Q2:Q52)</f>
        <v>0</v>
      </c>
    </row>
    <row r="56" spans="1:20" x14ac:dyDescent="0.25">
      <c r="A56" s="6" t="s">
        <v>255</v>
      </c>
      <c r="B56" s="7">
        <f>SUMIF(S2:S52,"0-30",Q2:Q52)</f>
        <v>0</v>
      </c>
    </row>
    <row r="57" spans="1:20" x14ac:dyDescent="0.25">
      <c r="A57" s="6" t="s">
        <v>323</v>
      </c>
      <c r="B57" s="7">
        <f>SUMIF(S2:S52,"31-60",Q2:Q52)</f>
        <v>0</v>
      </c>
    </row>
    <row r="58" spans="1:20" x14ac:dyDescent="0.25">
      <c r="A58" s="6" t="s">
        <v>304</v>
      </c>
      <c r="B58" s="7">
        <f>SUMIF(S2:S52,"61-90",Q2:Q52)</f>
        <v>0</v>
      </c>
    </row>
    <row r="59" spans="1:20" x14ac:dyDescent="0.25">
      <c r="A59" s="6" t="s">
        <v>258</v>
      </c>
      <c r="B59" s="7">
        <f>SUMIF(S2:S52,"90+",Q2:Q52)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75B5"/>
  </sheetPr>
  <dimension ref="A1:J14"/>
  <sheetViews>
    <sheetView showGridLines="0"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21" customWidth="1"/>
    <col min="2" max="2" width="19" customWidth="1"/>
    <col min="3" max="4" width="12" customWidth="1"/>
    <col min="5" max="5" width="19" customWidth="1"/>
    <col min="6" max="6" width="21" customWidth="1"/>
    <col min="7" max="7" width="19" customWidth="1"/>
    <col min="8" max="9" width="20" customWidth="1"/>
  </cols>
  <sheetData>
    <row r="1" spans="1:10" x14ac:dyDescent="0.25">
      <c r="A1" s="11" t="s">
        <v>1</v>
      </c>
      <c r="B1" s="11" t="s">
        <v>6</v>
      </c>
      <c r="C1" s="11" t="s">
        <v>390</v>
      </c>
      <c r="D1" s="11" t="s">
        <v>391</v>
      </c>
      <c r="E1" s="11" t="s">
        <v>392</v>
      </c>
      <c r="F1" s="11" t="s">
        <v>393</v>
      </c>
      <c r="G1" s="11" t="s">
        <v>394</v>
      </c>
      <c r="H1" s="11" t="s">
        <v>395</v>
      </c>
      <c r="I1" s="11" t="s">
        <v>396</v>
      </c>
      <c r="J1" s="41"/>
    </row>
    <row r="2" spans="1:10" x14ac:dyDescent="0.25">
      <c r="A2" s="14" t="s">
        <v>1</v>
      </c>
      <c r="B2" s="15" t="s">
        <v>397</v>
      </c>
      <c r="C2" s="13" t="s">
        <v>398</v>
      </c>
      <c r="D2" s="13" t="s">
        <v>399</v>
      </c>
      <c r="E2" s="15" t="s">
        <v>400</v>
      </c>
      <c r="F2" s="15" t="s">
        <v>391</v>
      </c>
      <c r="G2" s="15" t="s">
        <v>17</v>
      </c>
      <c r="H2" s="13" t="s">
        <v>401</v>
      </c>
      <c r="I2" s="13" t="s">
        <v>402</v>
      </c>
      <c r="J2" s="6" t="s">
        <v>403</v>
      </c>
    </row>
    <row r="3" spans="1:10" x14ac:dyDescent="0.25">
      <c r="A3" s="17">
        <f>DATE(2025,1,1)</f>
        <v>45658</v>
      </c>
      <c r="B3" s="15">
        <f>SUM(AR_Aging!$G:$G)+INDEX(CashFlow!$L:$L,MATCH(A3,CashFlow!$A:$A,0))</f>
        <v>13170306.960000001</v>
      </c>
      <c r="C3" s="15">
        <f>SUM(AP_Aging!$G:$G)</f>
        <v>4110600</v>
      </c>
      <c r="D3" s="15">
        <f t="shared" ref="D3:D14" si="0">B3-C3</f>
        <v>9059706.9600000009</v>
      </c>
      <c r="E3" s="15">
        <f t="shared" ref="E3:E14" si="1">B3-F3</f>
        <v>13170306.960000001</v>
      </c>
      <c r="F3" s="15">
        <f>0</f>
        <v>0</v>
      </c>
      <c r="G3" s="18">
        <f t="shared" ref="G3:G14" si="2">IFERROR(B3/C3,0)</f>
        <v>3.2039865129178224</v>
      </c>
      <c r="H3" s="18">
        <f t="shared" ref="H3:H14" si="3">IFERROR(E3/C3,0)</f>
        <v>3.2039865129178224</v>
      </c>
      <c r="I3" s="18">
        <f>IFERROR(SUM(AR_Aging!$G:$G)/SUM(Monthly_PnL!$B:$B)*365,0)</f>
        <v>89.72493368353652</v>
      </c>
      <c r="J3" s="19">
        <f>IFERROR(SUM(AP_Aging!$G:$G)/SUM(Monthly_PnL!$E:$E)*365,0)</f>
        <v>81.937677146648753</v>
      </c>
    </row>
    <row r="4" spans="1:10" x14ac:dyDescent="0.25">
      <c r="A4" s="17">
        <f>DATE(2025,2,1)</f>
        <v>45689</v>
      </c>
      <c r="B4" s="15">
        <f>SUM(AR_Aging!$G:$G)+INDEX(CashFlow!$L:$L,MATCH(A4,CashFlow!$A:$A,0))</f>
        <v>13862675.960000001</v>
      </c>
      <c r="C4" s="15">
        <f>SUM(AP_Aging!$G:$G)</f>
        <v>4110600</v>
      </c>
      <c r="D4" s="15">
        <f t="shared" si="0"/>
        <v>9752075.9600000009</v>
      </c>
      <c r="E4" s="15">
        <f t="shared" si="1"/>
        <v>13862675.960000001</v>
      </c>
      <c r="F4" s="15">
        <f>0</f>
        <v>0</v>
      </c>
      <c r="G4" s="18">
        <f t="shared" si="2"/>
        <v>3.3724215345691628</v>
      </c>
      <c r="H4" s="18">
        <f t="shared" si="3"/>
        <v>3.3724215345691628</v>
      </c>
      <c r="I4" s="18">
        <f>IFERROR(SUM(AR_Aging!$G:$G)/SUM(Monthly_PnL!$B:$B)*365,0)</f>
        <v>89.72493368353652</v>
      </c>
      <c r="J4" s="19">
        <f>IFERROR(SUM(AP_Aging!$G:$G)/SUM(Monthly_PnL!$E:$E)*365,0)</f>
        <v>81.937677146648753</v>
      </c>
    </row>
    <row r="5" spans="1:10" x14ac:dyDescent="0.25">
      <c r="A5" s="17">
        <f>DATE(2025,3,1)</f>
        <v>45717</v>
      </c>
      <c r="B5" s="15">
        <f>SUM(AR_Aging!$G:$G)+INDEX(CashFlow!$L:$L,MATCH(A5,CashFlow!$A:$A,0))</f>
        <v>14807749.960000001</v>
      </c>
      <c r="C5" s="15">
        <f>SUM(AP_Aging!$G:$G)</f>
        <v>4110600</v>
      </c>
      <c r="D5" s="15">
        <f t="shared" si="0"/>
        <v>10697149.960000001</v>
      </c>
      <c r="E5" s="15">
        <f t="shared" si="1"/>
        <v>14807749.960000001</v>
      </c>
      <c r="F5" s="15">
        <f>0</f>
        <v>0</v>
      </c>
      <c r="G5" s="18">
        <f t="shared" si="2"/>
        <v>3.6023329830195108</v>
      </c>
      <c r="H5" s="18">
        <f t="shared" si="3"/>
        <v>3.6023329830195108</v>
      </c>
      <c r="I5" s="18">
        <f>IFERROR(SUM(AR_Aging!$G:$G)/SUM(Monthly_PnL!$B:$B)*365,0)</f>
        <v>89.72493368353652</v>
      </c>
      <c r="J5" s="19">
        <f>IFERROR(SUM(AP_Aging!$G:$G)/SUM(Monthly_PnL!$E:$E)*365,0)</f>
        <v>81.937677146648753</v>
      </c>
    </row>
    <row r="6" spans="1:10" x14ac:dyDescent="0.25">
      <c r="A6" s="17">
        <f>DATE(2025,4,1)</f>
        <v>45748</v>
      </c>
      <c r="B6" s="15">
        <f>SUM(AR_Aging!$G:$G)+INDEX(CashFlow!$L:$L,MATCH(A6,CashFlow!$A:$A,0))</f>
        <v>15628749.960000001</v>
      </c>
      <c r="C6" s="15">
        <f>SUM(AP_Aging!$G:$G)</f>
        <v>4110600</v>
      </c>
      <c r="D6" s="15">
        <f t="shared" si="0"/>
        <v>11518149.960000001</v>
      </c>
      <c r="E6" s="15">
        <f t="shared" si="1"/>
        <v>15628749.960000001</v>
      </c>
      <c r="F6" s="15">
        <f>0</f>
        <v>0</v>
      </c>
      <c r="G6" s="18">
        <f t="shared" si="2"/>
        <v>3.8020605167128889</v>
      </c>
      <c r="H6" s="18">
        <f t="shared" si="3"/>
        <v>3.8020605167128889</v>
      </c>
      <c r="I6" s="18">
        <f>IFERROR(SUM(AR_Aging!$G:$G)/SUM(Monthly_PnL!$B:$B)*365,0)</f>
        <v>89.72493368353652</v>
      </c>
      <c r="J6" s="19">
        <f>IFERROR(SUM(AP_Aging!$G:$G)/SUM(Monthly_PnL!$E:$E)*365,0)</f>
        <v>81.937677146648753</v>
      </c>
    </row>
    <row r="7" spans="1:10" x14ac:dyDescent="0.25">
      <c r="A7" s="17">
        <f>DATE(2025,5,1)</f>
        <v>45778</v>
      </c>
      <c r="B7" s="15">
        <f>SUM(AR_Aging!$G:$G)+INDEX(CashFlow!$L:$L,MATCH(A7,CashFlow!$A:$A,0))</f>
        <v>16326628.960000001</v>
      </c>
      <c r="C7" s="15">
        <f>SUM(AP_Aging!$G:$G)</f>
        <v>4110600</v>
      </c>
      <c r="D7" s="15">
        <f t="shared" si="0"/>
        <v>12216028.960000001</v>
      </c>
      <c r="E7" s="15">
        <f t="shared" si="1"/>
        <v>16326628.960000001</v>
      </c>
      <c r="F7" s="15">
        <f>0</f>
        <v>0</v>
      </c>
      <c r="G7" s="18">
        <f t="shared" si="2"/>
        <v>3.971835975283414</v>
      </c>
      <c r="H7" s="18">
        <f t="shared" si="3"/>
        <v>3.971835975283414</v>
      </c>
      <c r="I7" s="18">
        <f>IFERROR(SUM(AR_Aging!$G:$G)/SUM(Monthly_PnL!$B:$B)*365,0)</f>
        <v>89.72493368353652</v>
      </c>
      <c r="J7" s="19">
        <f>IFERROR(SUM(AP_Aging!$G:$G)/SUM(Monthly_PnL!$E:$E)*365,0)</f>
        <v>81.937677146648753</v>
      </c>
    </row>
    <row r="8" spans="1:10" x14ac:dyDescent="0.25">
      <c r="A8" s="17">
        <f>DATE(2025,6,1)</f>
        <v>45809</v>
      </c>
      <c r="B8" s="15">
        <f>SUM(AR_Aging!$G:$G)+INDEX(CashFlow!$L:$L,MATCH(A8,CashFlow!$A:$A,0))</f>
        <v>17323351.960000001</v>
      </c>
      <c r="C8" s="15">
        <f>SUM(AP_Aging!$G:$G)</f>
        <v>4110600</v>
      </c>
      <c r="D8" s="15">
        <f t="shared" si="0"/>
        <v>13212751.960000001</v>
      </c>
      <c r="E8" s="15">
        <f t="shared" si="1"/>
        <v>17323351.960000001</v>
      </c>
      <c r="F8" s="15">
        <f>0</f>
        <v>0</v>
      </c>
      <c r="G8" s="18">
        <f t="shared" si="2"/>
        <v>4.2143122561183288</v>
      </c>
      <c r="H8" s="18">
        <f t="shared" si="3"/>
        <v>4.2143122561183288</v>
      </c>
      <c r="I8" s="18">
        <f>IFERROR(SUM(AR_Aging!$G:$G)/SUM(Monthly_PnL!$B:$B)*365,0)</f>
        <v>89.72493368353652</v>
      </c>
      <c r="J8" s="19">
        <f>IFERROR(SUM(AP_Aging!$G:$G)/SUM(Monthly_PnL!$E:$E)*365,0)</f>
        <v>81.937677146648753</v>
      </c>
    </row>
    <row r="9" spans="1:10" x14ac:dyDescent="0.25">
      <c r="A9" s="17">
        <f>DATE(2025,7,1)</f>
        <v>45839</v>
      </c>
      <c r="B9" s="15">
        <f>SUM(AR_Aging!$G:$G)+INDEX(CashFlow!$L:$L,MATCH(A9,CashFlow!$A:$A,0))</f>
        <v>18272436.960000001</v>
      </c>
      <c r="C9" s="15">
        <f>SUM(AP_Aging!$G:$G)</f>
        <v>4110600</v>
      </c>
      <c r="D9" s="15">
        <f t="shared" si="0"/>
        <v>14161836.960000001</v>
      </c>
      <c r="E9" s="15">
        <f t="shared" si="1"/>
        <v>18272436.960000001</v>
      </c>
      <c r="F9" s="15">
        <f>0</f>
        <v>0</v>
      </c>
      <c r="G9" s="18">
        <f t="shared" si="2"/>
        <v>4.4451994745292662</v>
      </c>
      <c r="H9" s="18">
        <f t="shared" si="3"/>
        <v>4.4451994745292662</v>
      </c>
      <c r="I9" s="18">
        <f>IFERROR(SUM(AR_Aging!$G:$G)/SUM(Monthly_PnL!$B:$B)*365,0)</f>
        <v>89.72493368353652</v>
      </c>
      <c r="J9" s="19">
        <f>IFERROR(SUM(AP_Aging!$G:$G)/SUM(Monthly_PnL!$E:$E)*365,0)</f>
        <v>81.937677146648753</v>
      </c>
    </row>
    <row r="10" spans="1:10" x14ac:dyDescent="0.25">
      <c r="A10" s="17">
        <f>DATE(2025,8,1)</f>
        <v>45870</v>
      </c>
      <c r="B10" s="15">
        <f>SUM(AR_Aging!$G:$G)+INDEX(CashFlow!$L:$L,MATCH(A10,CashFlow!$A:$A,0))</f>
        <v>19519087.960000001</v>
      </c>
      <c r="C10" s="15">
        <f>SUM(AP_Aging!$G:$G)</f>
        <v>4110600</v>
      </c>
      <c r="D10" s="15">
        <f t="shared" si="0"/>
        <v>15408487.960000001</v>
      </c>
      <c r="E10" s="15">
        <f t="shared" si="1"/>
        <v>19519087.960000001</v>
      </c>
      <c r="F10" s="15">
        <f>0</f>
        <v>0</v>
      </c>
      <c r="G10" s="18">
        <f t="shared" si="2"/>
        <v>4.7484766116868586</v>
      </c>
      <c r="H10" s="18">
        <f t="shared" si="3"/>
        <v>4.7484766116868586</v>
      </c>
      <c r="I10" s="18">
        <f>IFERROR(SUM(AR_Aging!$G:$G)/SUM(Monthly_PnL!$B:$B)*365,0)</f>
        <v>89.72493368353652</v>
      </c>
      <c r="J10" s="19">
        <f>IFERROR(SUM(AP_Aging!$G:$G)/SUM(Monthly_PnL!$E:$E)*365,0)</f>
        <v>81.937677146648753</v>
      </c>
    </row>
    <row r="11" spans="1:10" x14ac:dyDescent="0.25">
      <c r="A11" s="17">
        <f>DATE(2025,9,1)</f>
        <v>45901</v>
      </c>
      <c r="B11" s="15">
        <f>SUM(AR_Aging!$G:$G)+INDEX(CashFlow!$L:$L,MATCH(A11,CashFlow!$A:$A,0))</f>
        <v>20615608.960000001</v>
      </c>
      <c r="C11" s="15">
        <f>SUM(AP_Aging!$G:$G)</f>
        <v>4110600</v>
      </c>
      <c r="D11" s="15">
        <f t="shared" si="0"/>
        <v>16505008.960000001</v>
      </c>
      <c r="E11" s="15">
        <f t="shared" si="1"/>
        <v>20615608.960000001</v>
      </c>
      <c r="F11" s="15">
        <f>0</f>
        <v>0</v>
      </c>
      <c r="G11" s="18">
        <f t="shared" si="2"/>
        <v>5.0152311000827128</v>
      </c>
      <c r="H11" s="18">
        <f t="shared" si="3"/>
        <v>5.0152311000827128</v>
      </c>
      <c r="I11" s="18">
        <f>IFERROR(SUM(AR_Aging!$G:$G)/SUM(Monthly_PnL!$B:$B)*365,0)</f>
        <v>89.72493368353652</v>
      </c>
      <c r="J11" s="19">
        <f>IFERROR(SUM(AP_Aging!$G:$G)/SUM(Monthly_PnL!$E:$E)*365,0)</f>
        <v>81.937677146648753</v>
      </c>
    </row>
    <row r="12" spans="1:10" x14ac:dyDescent="0.25">
      <c r="A12" s="17">
        <f>DATE(2025,10,1)</f>
        <v>45931</v>
      </c>
      <c r="B12" s="15">
        <f>SUM(AR_Aging!$G:$G)+INDEX(CashFlow!$L:$L,MATCH(A12,CashFlow!$A:$A,0))</f>
        <v>21582995.960000001</v>
      </c>
      <c r="C12" s="15">
        <f>SUM(AP_Aging!$G:$G)</f>
        <v>4110600</v>
      </c>
      <c r="D12" s="15">
        <f t="shared" si="0"/>
        <v>17472395.960000001</v>
      </c>
      <c r="E12" s="15">
        <f t="shared" si="1"/>
        <v>21582995.960000001</v>
      </c>
      <c r="F12" s="15">
        <f>0</f>
        <v>0</v>
      </c>
      <c r="G12" s="18">
        <f t="shared" si="2"/>
        <v>5.2505707098720382</v>
      </c>
      <c r="H12" s="18">
        <f t="shared" si="3"/>
        <v>5.2505707098720382</v>
      </c>
      <c r="I12" s="18">
        <f>IFERROR(SUM(AR_Aging!$G:$G)/SUM(Monthly_PnL!$B:$B)*365,0)</f>
        <v>89.72493368353652</v>
      </c>
      <c r="J12" s="19">
        <f>IFERROR(SUM(AP_Aging!$G:$G)/SUM(Monthly_PnL!$E:$E)*365,0)</f>
        <v>81.937677146648753</v>
      </c>
    </row>
    <row r="13" spans="1:10" x14ac:dyDescent="0.25">
      <c r="A13" s="17">
        <f>DATE(2025,11,1)</f>
        <v>45962</v>
      </c>
      <c r="B13" s="15">
        <f>SUM(AR_Aging!$G:$G)+INDEX(CashFlow!$L:$L,MATCH(A13,CashFlow!$A:$A,0))</f>
        <v>22847761.960000001</v>
      </c>
      <c r="C13" s="15">
        <f>SUM(AP_Aging!$G:$G)</f>
        <v>4110600</v>
      </c>
      <c r="D13" s="15">
        <f t="shared" si="0"/>
        <v>18737161.960000001</v>
      </c>
      <c r="E13" s="15">
        <f t="shared" si="1"/>
        <v>22847761.960000001</v>
      </c>
      <c r="F13" s="15">
        <f>0</f>
        <v>0</v>
      </c>
      <c r="G13" s="18">
        <f t="shared" si="2"/>
        <v>5.5582547462657521</v>
      </c>
      <c r="H13" s="18">
        <f t="shared" si="3"/>
        <v>5.5582547462657521</v>
      </c>
      <c r="I13" s="18">
        <f>IFERROR(SUM(AR_Aging!$G:$G)/SUM(Monthly_PnL!$B:$B)*365,0)</f>
        <v>89.72493368353652</v>
      </c>
      <c r="J13" s="19">
        <f>IFERROR(SUM(AP_Aging!$G:$G)/SUM(Monthly_PnL!$E:$E)*365,0)</f>
        <v>81.937677146648753</v>
      </c>
    </row>
    <row r="14" spans="1:10" x14ac:dyDescent="0.25">
      <c r="A14" s="8">
        <f>DATE(2025,12,1)</f>
        <v>45992</v>
      </c>
      <c r="B14" s="7">
        <f>SUM(AR_Aging!$G:$G)+INDEX(CashFlow!$L:$L,MATCH(A14,CashFlow!$A:$A,0))</f>
        <v>24245360.960000001</v>
      </c>
      <c r="C14" s="7">
        <f>SUM(AP_Aging!$G:$G)</f>
        <v>4110600</v>
      </c>
      <c r="D14" s="7">
        <f t="shared" si="0"/>
        <v>20134760.960000001</v>
      </c>
      <c r="E14" s="7">
        <f t="shared" si="1"/>
        <v>24245360.960000001</v>
      </c>
      <c r="F14" s="7">
        <f>0</f>
        <v>0</v>
      </c>
      <c r="G14" s="19">
        <f t="shared" si="2"/>
        <v>5.8982535298983123</v>
      </c>
      <c r="H14" s="19">
        <f t="shared" si="3"/>
        <v>5.8982535298983123</v>
      </c>
      <c r="I14" s="19">
        <f>IFERROR(SUM(AR_Aging!$G:$G)/SUM(Monthly_PnL!$B:$B)*365,0)</f>
        <v>89.72493368353652</v>
      </c>
      <c r="J14" s="19">
        <f>IFERROR(SUM(AP_Aging!$G:$G)/SUM(Monthly_PnL!$E:$E)*365,0)</f>
        <v>81.937677146648753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75B5"/>
  </sheetPr>
  <dimension ref="A1:G5"/>
  <sheetViews>
    <sheetView showGridLines="0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22" customWidth="1"/>
    <col min="2" max="2" width="12" customWidth="1"/>
    <col min="3" max="3" width="17" customWidth="1"/>
    <col min="4" max="4" width="14" customWidth="1"/>
    <col min="5" max="5" width="28" customWidth="1"/>
    <col min="6" max="6" width="20" customWidth="1"/>
    <col min="7" max="7" width="21" customWidth="1"/>
  </cols>
  <sheetData>
    <row r="1" spans="1:7" x14ac:dyDescent="0.25">
      <c r="A1" s="11" t="s">
        <v>43</v>
      </c>
      <c r="B1" s="11" t="s">
        <v>2</v>
      </c>
      <c r="C1" s="11" t="s">
        <v>404</v>
      </c>
      <c r="D1" s="11" t="s">
        <v>405</v>
      </c>
      <c r="E1" s="11" t="s">
        <v>406</v>
      </c>
      <c r="F1" s="11" t="s">
        <v>4</v>
      </c>
      <c r="G1" s="11" t="s">
        <v>407</v>
      </c>
    </row>
    <row r="2" spans="1:7" x14ac:dyDescent="0.25">
      <c r="A2" s="13" t="s">
        <v>50</v>
      </c>
      <c r="B2" s="15">
        <v>12383900</v>
      </c>
      <c r="C2" s="15">
        <v>4334365</v>
      </c>
      <c r="D2" s="15">
        <v>8049535</v>
      </c>
      <c r="E2" s="15">
        <v>7407935.4766945001</v>
      </c>
      <c r="F2" s="15">
        <v>641599.52330549993</v>
      </c>
      <c r="G2" s="15">
        <v>5.1809165392606521E-2</v>
      </c>
    </row>
    <row r="3" spans="1:7" x14ac:dyDescent="0.25">
      <c r="A3" s="13" t="s">
        <v>55</v>
      </c>
      <c r="B3" s="15">
        <v>7227700</v>
      </c>
      <c r="C3" s="15">
        <v>2529695</v>
      </c>
      <c r="D3" s="15">
        <v>4698005</v>
      </c>
      <c r="E3" s="15">
        <v>4323543.8952918574</v>
      </c>
      <c r="F3" s="15">
        <v>374461.10470814258</v>
      </c>
      <c r="G3" s="15">
        <v>5.1809165392606583E-2</v>
      </c>
    </row>
    <row r="4" spans="1:7" x14ac:dyDescent="0.25">
      <c r="A4" s="13" t="s">
        <v>59</v>
      </c>
      <c r="B4" s="15">
        <v>6036800</v>
      </c>
      <c r="C4" s="15">
        <v>2112880</v>
      </c>
      <c r="D4" s="15">
        <v>3923920</v>
      </c>
      <c r="E4" s="15">
        <v>3611158.430357913</v>
      </c>
      <c r="F4" s="15">
        <v>312761.56964208698</v>
      </c>
      <c r="G4" s="15">
        <v>5.1809165392606507E-2</v>
      </c>
    </row>
    <row r="5" spans="1:7" x14ac:dyDescent="0.25">
      <c r="A5" s="13" t="s">
        <v>63</v>
      </c>
      <c r="B5" s="15">
        <v>4962400</v>
      </c>
      <c r="C5" s="15">
        <v>1736840</v>
      </c>
      <c r="D5" s="15">
        <v>3225560</v>
      </c>
      <c r="E5" s="15">
        <v>2968462.197655729</v>
      </c>
      <c r="F5" s="15">
        <v>257097.80234427049</v>
      </c>
      <c r="G5" s="15">
        <v>5.1809165392606507E-2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F75B5"/>
  </sheetPr>
  <dimension ref="A1:C37"/>
  <sheetViews>
    <sheetView showGridLines="0"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21" customWidth="1"/>
    <col min="2" max="3" width="20" customWidth="1"/>
  </cols>
  <sheetData>
    <row r="1" spans="1:3" x14ac:dyDescent="0.25">
      <c r="A1" s="11" t="s">
        <v>1</v>
      </c>
      <c r="B1" s="11" t="s">
        <v>20</v>
      </c>
      <c r="C1" s="11" t="s">
        <v>408</v>
      </c>
    </row>
    <row r="2" spans="1:3" x14ac:dyDescent="0.25">
      <c r="A2" s="14">
        <v>46023</v>
      </c>
      <c r="B2" s="13" t="s">
        <v>2</v>
      </c>
      <c r="C2" s="13">
        <v>3133004.5454545449</v>
      </c>
    </row>
    <row r="3" spans="1:3" x14ac:dyDescent="0.25">
      <c r="A3" s="14">
        <v>46054</v>
      </c>
      <c r="B3" s="13" t="s">
        <v>2</v>
      </c>
      <c r="C3" s="13">
        <v>3222559.0909090908</v>
      </c>
    </row>
    <row r="4" spans="1:3" x14ac:dyDescent="0.25">
      <c r="A4" s="14">
        <v>46082</v>
      </c>
      <c r="B4" s="13" t="s">
        <v>2</v>
      </c>
      <c r="C4" s="13">
        <v>3312113.6363636358</v>
      </c>
    </row>
    <row r="5" spans="1:3" x14ac:dyDescent="0.25">
      <c r="A5" s="14">
        <v>46113</v>
      </c>
      <c r="B5" s="13" t="s">
        <v>2</v>
      </c>
      <c r="C5" s="13">
        <v>3401668.1818181821</v>
      </c>
    </row>
    <row r="6" spans="1:3" x14ac:dyDescent="0.25">
      <c r="A6" s="14">
        <v>46143</v>
      </c>
      <c r="B6" s="13" t="s">
        <v>2</v>
      </c>
      <c r="C6" s="13">
        <v>3491222.7272727271</v>
      </c>
    </row>
    <row r="7" spans="1:3" x14ac:dyDescent="0.25">
      <c r="A7" s="14">
        <v>46174</v>
      </c>
      <c r="B7" s="13" t="s">
        <v>2</v>
      </c>
      <c r="C7" s="13">
        <v>3580777.272727272</v>
      </c>
    </row>
    <row r="8" spans="1:3" x14ac:dyDescent="0.25">
      <c r="A8" s="14">
        <v>46204</v>
      </c>
      <c r="B8" s="13" t="s">
        <v>2</v>
      </c>
      <c r="C8" s="13">
        <v>3670331.8181818179</v>
      </c>
    </row>
    <row r="9" spans="1:3" x14ac:dyDescent="0.25">
      <c r="A9" s="14">
        <v>46235</v>
      </c>
      <c r="B9" s="13" t="s">
        <v>2</v>
      </c>
      <c r="C9" s="13">
        <v>3759886.3636363628</v>
      </c>
    </row>
    <row r="10" spans="1:3" x14ac:dyDescent="0.25">
      <c r="A10" s="14">
        <v>46266</v>
      </c>
      <c r="B10" s="13" t="s">
        <v>2</v>
      </c>
      <c r="C10" s="13">
        <v>3849440.9090909092</v>
      </c>
    </row>
    <row r="11" spans="1:3" x14ac:dyDescent="0.25">
      <c r="A11" s="14">
        <v>46296</v>
      </c>
      <c r="B11" s="13" t="s">
        <v>2</v>
      </c>
      <c r="C11" s="13">
        <v>3938995.4545454541</v>
      </c>
    </row>
    <row r="12" spans="1:3" x14ac:dyDescent="0.25">
      <c r="A12" s="14">
        <v>46327</v>
      </c>
      <c r="B12" s="13" t="s">
        <v>2</v>
      </c>
      <c r="C12" s="13">
        <v>4028550</v>
      </c>
    </row>
    <row r="13" spans="1:3" x14ac:dyDescent="0.25">
      <c r="A13" s="14">
        <v>46357</v>
      </c>
      <c r="B13" s="13" t="s">
        <v>2</v>
      </c>
      <c r="C13" s="13">
        <v>4118104.5454545449</v>
      </c>
    </row>
    <row r="14" spans="1:3" x14ac:dyDescent="0.25">
      <c r="A14" s="14">
        <v>46023</v>
      </c>
      <c r="B14" s="13" t="s">
        <v>231</v>
      </c>
      <c r="C14" s="13">
        <v>1710859.0909090899</v>
      </c>
    </row>
    <row r="15" spans="1:3" x14ac:dyDescent="0.25">
      <c r="A15" s="14">
        <v>46054</v>
      </c>
      <c r="B15" s="13" t="s">
        <v>231</v>
      </c>
      <c r="C15" s="13">
        <v>1739310.4895104889</v>
      </c>
    </row>
    <row r="16" spans="1:3" x14ac:dyDescent="0.25">
      <c r="A16" s="14">
        <v>46082</v>
      </c>
      <c r="B16" s="13" t="s">
        <v>231</v>
      </c>
      <c r="C16" s="13">
        <v>1767761.888111887</v>
      </c>
    </row>
    <row r="17" spans="1:3" x14ac:dyDescent="0.25">
      <c r="A17" s="14">
        <v>46113</v>
      </c>
      <c r="B17" s="13" t="s">
        <v>231</v>
      </c>
      <c r="C17" s="13">
        <v>1796213.2867132861</v>
      </c>
    </row>
    <row r="18" spans="1:3" x14ac:dyDescent="0.25">
      <c r="A18" s="14">
        <v>46143</v>
      </c>
      <c r="B18" s="13" t="s">
        <v>231</v>
      </c>
      <c r="C18" s="13">
        <v>1824664.6853146839</v>
      </c>
    </row>
    <row r="19" spans="1:3" x14ac:dyDescent="0.25">
      <c r="A19" s="14">
        <v>46174</v>
      </c>
      <c r="B19" s="13" t="s">
        <v>231</v>
      </c>
      <c r="C19" s="13">
        <v>1853116.083916083</v>
      </c>
    </row>
    <row r="20" spans="1:3" x14ac:dyDescent="0.25">
      <c r="A20" s="14">
        <v>46204</v>
      </c>
      <c r="B20" s="13" t="s">
        <v>231</v>
      </c>
      <c r="C20" s="13">
        <v>1881567.4825174811</v>
      </c>
    </row>
    <row r="21" spans="1:3" x14ac:dyDescent="0.25">
      <c r="A21" s="14">
        <v>46235</v>
      </c>
      <c r="B21" s="13" t="s">
        <v>231</v>
      </c>
      <c r="C21" s="13">
        <v>1910018.8811188799</v>
      </c>
    </row>
    <row r="22" spans="1:3" x14ac:dyDescent="0.25">
      <c r="A22" s="14">
        <v>46266</v>
      </c>
      <c r="B22" s="13" t="s">
        <v>231</v>
      </c>
      <c r="C22" s="13">
        <v>1938470.279720278</v>
      </c>
    </row>
    <row r="23" spans="1:3" x14ac:dyDescent="0.25">
      <c r="A23" s="14">
        <v>46296</v>
      </c>
      <c r="B23" s="13" t="s">
        <v>231</v>
      </c>
      <c r="C23" s="13">
        <v>1966921.678321677</v>
      </c>
    </row>
    <row r="24" spans="1:3" x14ac:dyDescent="0.25">
      <c r="A24" s="14">
        <v>46327</v>
      </c>
      <c r="B24" s="13" t="s">
        <v>231</v>
      </c>
      <c r="C24" s="13">
        <v>1995373.0769230761</v>
      </c>
    </row>
    <row r="25" spans="1:3" x14ac:dyDescent="0.25">
      <c r="A25" s="14">
        <v>46357</v>
      </c>
      <c r="B25" s="13" t="s">
        <v>231</v>
      </c>
      <c r="C25" s="13">
        <v>2023824.4755244739</v>
      </c>
    </row>
    <row r="26" spans="1:3" x14ac:dyDescent="0.25">
      <c r="A26" s="14">
        <v>46023</v>
      </c>
      <c r="B26" s="13" t="s">
        <v>409</v>
      </c>
      <c r="C26" s="13">
        <v>191411.78977272721</v>
      </c>
    </row>
    <row r="27" spans="1:3" x14ac:dyDescent="0.25">
      <c r="A27" s="14">
        <v>46054</v>
      </c>
      <c r="B27" s="13" t="s">
        <v>409</v>
      </c>
      <c r="C27" s="13">
        <v>213573.5795454545</v>
      </c>
    </row>
    <row r="28" spans="1:3" x14ac:dyDescent="0.25">
      <c r="A28" s="14">
        <v>46082</v>
      </c>
      <c r="B28" s="13" t="s">
        <v>409</v>
      </c>
      <c r="C28" s="13">
        <v>235735.36931818171</v>
      </c>
    </row>
    <row r="29" spans="1:3" x14ac:dyDescent="0.25">
      <c r="A29" s="14">
        <v>46113</v>
      </c>
      <c r="B29" s="13" t="s">
        <v>409</v>
      </c>
      <c r="C29" s="13">
        <v>257897.15909090891</v>
      </c>
    </row>
    <row r="30" spans="1:3" x14ac:dyDescent="0.25">
      <c r="A30" s="14">
        <v>46143</v>
      </c>
      <c r="B30" s="13" t="s">
        <v>409</v>
      </c>
      <c r="C30" s="13">
        <v>280058.94886363618</v>
      </c>
    </row>
    <row r="31" spans="1:3" x14ac:dyDescent="0.25">
      <c r="A31" s="14">
        <v>46174</v>
      </c>
      <c r="B31" s="13" t="s">
        <v>409</v>
      </c>
      <c r="C31" s="13">
        <v>302220.73863636347</v>
      </c>
    </row>
    <row r="32" spans="1:3" x14ac:dyDescent="0.25">
      <c r="A32" s="14">
        <v>46204</v>
      </c>
      <c r="B32" s="13" t="s">
        <v>409</v>
      </c>
      <c r="C32" s="13">
        <v>324382.52840909082</v>
      </c>
    </row>
    <row r="33" spans="1:3" x14ac:dyDescent="0.25">
      <c r="A33" s="14">
        <v>46235</v>
      </c>
      <c r="B33" s="13" t="s">
        <v>409</v>
      </c>
      <c r="C33" s="13">
        <v>346544.318181818</v>
      </c>
    </row>
    <row r="34" spans="1:3" x14ac:dyDescent="0.25">
      <c r="A34" s="14">
        <v>46266</v>
      </c>
      <c r="B34" s="13" t="s">
        <v>409</v>
      </c>
      <c r="C34" s="13">
        <v>368706.1079545453</v>
      </c>
    </row>
    <row r="35" spans="1:3" x14ac:dyDescent="0.25">
      <c r="A35" s="14">
        <v>46296</v>
      </c>
      <c r="B35" s="13" t="s">
        <v>409</v>
      </c>
      <c r="C35" s="13">
        <v>390867.89772727259</v>
      </c>
    </row>
    <row r="36" spans="1:3" x14ac:dyDescent="0.25">
      <c r="A36" s="14">
        <v>46327</v>
      </c>
      <c r="B36" s="13" t="s">
        <v>409</v>
      </c>
      <c r="C36" s="13">
        <v>413029.68749999983</v>
      </c>
    </row>
    <row r="37" spans="1:3" x14ac:dyDescent="0.25">
      <c r="A37" s="14">
        <v>46357</v>
      </c>
      <c r="B37" s="13" t="s">
        <v>409</v>
      </c>
      <c r="C37" s="13">
        <v>435191.47727272712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F75B5"/>
  </sheetPr>
  <dimension ref="A1:H4"/>
  <sheetViews>
    <sheetView showGridLines="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2" customWidth="1"/>
    <col min="2" max="3" width="16" customWidth="1"/>
    <col min="4" max="6" width="20" customWidth="1"/>
    <col min="7" max="8" width="21" customWidth="1"/>
  </cols>
  <sheetData>
    <row r="1" spans="1:8" x14ac:dyDescent="0.25">
      <c r="A1" s="11" t="s">
        <v>10</v>
      </c>
      <c r="B1" s="11" t="s">
        <v>410</v>
      </c>
      <c r="C1" s="11" t="s">
        <v>411</v>
      </c>
      <c r="D1" s="11" t="s">
        <v>2</v>
      </c>
      <c r="E1" s="11" t="s">
        <v>3</v>
      </c>
      <c r="F1" s="11" t="s">
        <v>405</v>
      </c>
      <c r="G1" s="11" t="s">
        <v>4</v>
      </c>
      <c r="H1" s="11" t="s">
        <v>409</v>
      </c>
    </row>
    <row r="2" spans="1:8" x14ac:dyDescent="0.25">
      <c r="A2" s="13" t="s">
        <v>11</v>
      </c>
      <c r="B2" s="15">
        <v>1</v>
      </c>
      <c r="C2" s="15">
        <v>1</v>
      </c>
      <c r="D2" s="15">
        <v>3154500</v>
      </c>
      <c r="E2" s="15">
        <v>1735800</v>
      </c>
      <c r="F2" s="15">
        <v>2050425</v>
      </c>
      <c r="G2" s="15">
        <v>314625</v>
      </c>
      <c r="H2" s="15">
        <v>235968.75</v>
      </c>
    </row>
    <row r="3" spans="1:8" x14ac:dyDescent="0.25">
      <c r="A3" s="13" t="s">
        <v>412</v>
      </c>
      <c r="B3" s="15">
        <v>1.1000000000000001</v>
      </c>
      <c r="C3" s="15">
        <v>0.97</v>
      </c>
      <c r="D3" s="15">
        <v>3469950</v>
      </c>
      <c r="E3" s="15">
        <v>1683726</v>
      </c>
      <c r="F3" s="15">
        <v>2255467.5</v>
      </c>
      <c r="G3" s="15">
        <v>571741.50000000047</v>
      </c>
      <c r="H3" s="15">
        <v>428806.12500000029</v>
      </c>
    </row>
    <row r="4" spans="1:8" x14ac:dyDescent="0.25">
      <c r="A4" s="13" t="s">
        <v>413</v>
      </c>
      <c r="B4" s="15">
        <v>0.9</v>
      </c>
      <c r="C4" s="15">
        <v>1.08</v>
      </c>
      <c r="D4" s="15">
        <v>2839050</v>
      </c>
      <c r="E4" s="15">
        <v>1874664</v>
      </c>
      <c r="F4" s="15">
        <v>1845382.5</v>
      </c>
      <c r="G4" s="15">
        <v>-29281.500000000229</v>
      </c>
      <c r="H4" s="15">
        <v>-29281.500000000229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F75B5"/>
  </sheetPr>
  <dimension ref="A1:D42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20" customWidth="1"/>
    <col min="2" max="2" width="12" customWidth="1"/>
    <col min="3" max="3" width="19" customWidth="1"/>
    <col min="4" max="4" width="37.28515625" customWidth="1"/>
  </cols>
  <sheetData>
    <row r="1" spans="1:4" x14ac:dyDescent="0.25">
      <c r="A1" s="11" t="s">
        <v>414</v>
      </c>
      <c r="B1" s="11" t="s">
        <v>415</v>
      </c>
      <c r="C1" s="11" t="s">
        <v>416</v>
      </c>
      <c r="D1" s="11" t="s">
        <v>417</v>
      </c>
    </row>
    <row r="2" spans="1:4" x14ac:dyDescent="0.25">
      <c r="A2" s="13" t="s">
        <v>418</v>
      </c>
      <c r="B2" s="13" t="s">
        <v>419</v>
      </c>
      <c r="C2" s="13" t="s">
        <v>116</v>
      </c>
      <c r="D2" s="13" t="s">
        <v>420</v>
      </c>
    </row>
    <row r="3" spans="1:4" x14ac:dyDescent="0.25">
      <c r="A3" s="13" t="s">
        <v>418</v>
      </c>
      <c r="B3" s="13" t="s">
        <v>419</v>
      </c>
      <c r="C3" s="13" t="s">
        <v>126</v>
      </c>
      <c r="D3" s="13" t="s">
        <v>421</v>
      </c>
    </row>
    <row r="4" spans="1:4" x14ac:dyDescent="0.25">
      <c r="A4" s="13" t="s">
        <v>418</v>
      </c>
      <c r="B4" s="13" t="s">
        <v>419</v>
      </c>
      <c r="C4" s="13" t="s">
        <v>118</v>
      </c>
      <c r="D4" s="13" t="s">
        <v>422</v>
      </c>
    </row>
    <row r="5" spans="1:4" x14ac:dyDescent="0.25">
      <c r="A5" s="13" t="s">
        <v>418</v>
      </c>
      <c r="B5" s="13" t="s">
        <v>419</v>
      </c>
      <c r="C5" s="13" t="s">
        <v>122</v>
      </c>
      <c r="D5" s="13" t="s">
        <v>423</v>
      </c>
    </row>
    <row r="6" spans="1:4" x14ac:dyDescent="0.25">
      <c r="A6" s="13" t="s">
        <v>418</v>
      </c>
      <c r="B6" s="13" t="s">
        <v>419</v>
      </c>
      <c r="C6" s="13" t="s">
        <v>120</v>
      </c>
      <c r="D6" s="13" t="s">
        <v>424</v>
      </c>
    </row>
    <row r="7" spans="1:4" x14ac:dyDescent="0.25">
      <c r="A7" s="13" t="s">
        <v>425</v>
      </c>
      <c r="B7" s="13" t="s">
        <v>419</v>
      </c>
      <c r="C7" s="13" t="s">
        <v>66</v>
      </c>
      <c r="D7" s="13" t="s">
        <v>426</v>
      </c>
    </row>
    <row r="8" spans="1:4" x14ac:dyDescent="0.25">
      <c r="A8" s="13" t="s">
        <v>425</v>
      </c>
      <c r="B8" s="13" t="s">
        <v>419</v>
      </c>
      <c r="C8" s="13" t="s">
        <v>57</v>
      </c>
      <c r="D8" s="13" t="s">
        <v>427</v>
      </c>
    </row>
    <row r="9" spans="1:4" x14ac:dyDescent="0.25">
      <c r="A9" s="13" t="s">
        <v>425</v>
      </c>
      <c r="B9" s="13" t="s">
        <v>419</v>
      </c>
      <c r="C9" s="13" t="s">
        <v>68</v>
      </c>
      <c r="D9" s="13" t="s">
        <v>428</v>
      </c>
    </row>
    <row r="10" spans="1:4" x14ac:dyDescent="0.25">
      <c r="A10" s="13" t="s">
        <v>425</v>
      </c>
      <c r="B10" s="13" t="s">
        <v>419</v>
      </c>
      <c r="C10" s="13" t="s">
        <v>61</v>
      </c>
      <c r="D10" s="13" t="s">
        <v>429</v>
      </c>
    </row>
    <row r="11" spans="1:4" x14ac:dyDescent="0.25">
      <c r="A11" s="13" t="s">
        <v>425</v>
      </c>
      <c r="B11" s="13" t="s">
        <v>419</v>
      </c>
      <c r="C11" s="13" t="s">
        <v>66</v>
      </c>
      <c r="D11" s="13" t="s">
        <v>430</v>
      </c>
    </row>
    <row r="12" spans="1:4" x14ac:dyDescent="0.25">
      <c r="A12" s="13" t="s">
        <v>425</v>
      </c>
      <c r="B12" s="13" t="s">
        <v>419</v>
      </c>
      <c r="C12" s="13" t="s">
        <v>57</v>
      </c>
      <c r="D12" s="13" t="s">
        <v>431</v>
      </c>
    </row>
    <row r="13" spans="1:4" x14ac:dyDescent="0.25">
      <c r="A13" s="13" t="s">
        <v>425</v>
      </c>
      <c r="B13" s="13" t="s">
        <v>419</v>
      </c>
      <c r="C13" s="13" t="s">
        <v>68</v>
      </c>
      <c r="D13" s="13" t="s">
        <v>432</v>
      </c>
    </row>
    <row r="14" spans="1:4" x14ac:dyDescent="0.25">
      <c r="A14" s="13" t="s">
        <v>425</v>
      </c>
      <c r="B14" s="13" t="s">
        <v>419</v>
      </c>
      <c r="C14" s="13" t="s">
        <v>61</v>
      </c>
      <c r="D14" s="13" t="s">
        <v>433</v>
      </c>
    </row>
    <row r="15" spans="1:4" x14ac:dyDescent="0.25">
      <c r="A15" s="13" t="s">
        <v>425</v>
      </c>
      <c r="B15" s="13" t="s">
        <v>419</v>
      </c>
      <c r="C15" s="13" t="s">
        <v>57</v>
      </c>
      <c r="D15" s="13" t="s">
        <v>434</v>
      </c>
    </row>
    <row r="16" spans="1:4" x14ac:dyDescent="0.25">
      <c r="A16" s="13" t="s">
        <v>425</v>
      </c>
      <c r="B16" s="13" t="s">
        <v>419</v>
      </c>
      <c r="C16" s="13" t="s">
        <v>68</v>
      </c>
      <c r="D16" s="13" t="s">
        <v>435</v>
      </c>
    </row>
    <row r="17" spans="1:4" x14ac:dyDescent="0.25">
      <c r="A17" s="13" t="s">
        <v>425</v>
      </c>
      <c r="B17" s="13" t="s">
        <v>419</v>
      </c>
      <c r="C17" s="13" t="s">
        <v>61</v>
      </c>
      <c r="D17" s="13" t="s">
        <v>436</v>
      </c>
    </row>
    <row r="18" spans="1:4" x14ac:dyDescent="0.25">
      <c r="A18" s="13" t="s">
        <v>425</v>
      </c>
      <c r="B18" s="13" t="s">
        <v>419</v>
      </c>
      <c r="C18" s="13" t="s">
        <v>52</v>
      </c>
      <c r="D18" s="13" t="s">
        <v>437</v>
      </c>
    </row>
    <row r="19" spans="1:4" x14ac:dyDescent="0.25">
      <c r="A19" s="13" t="s">
        <v>425</v>
      </c>
      <c r="B19" s="13" t="s">
        <v>419</v>
      </c>
      <c r="C19" s="13" t="s">
        <v>68</v>
      </c>
      <c r="D19" s="13" t="s">
        <v>438</v>
      </c>
    </row>
    <row r="20" spans="1:4" x14ac:dyDescent="0.25">
      <c r="A20" s="13" t="s">
        <v>425</v>
      </c>
      <c r="B20" s="13" t="s">
        <v>419</v>
      </c>
      <c r="C20" s="13" t="s">
        <v>61</v>
      </c>
      <c r="D20" s="13" t="s">
        <v>439</v>
      </c>
    </row>
    <row r="21" spans="1:4" x14ac:dyDescent="0.25">
      <c r="A21" s="13" t="s">
        <v>425</v>
      </c>
      <c r="B21" s="13" t="s">
        <v>419</v>
      </c>
      <c r="C21" s="13" t="s">
        <v>52</v>
      </c>
      <c r="D21" s="13" t="s">
        <v>440</v>
      </c>
    </row>
    <row r="22" spans="1:4" x14ac:dyDescent="0.25">
      <c r="A22" s="13" t="s">
        <v>425</v>
      </c>
      <c r="B22" s="13" t="s">
        <v>419</v>
      </c>
      <c r="C22" s="13" t="s">
        <v>66</v>
      </c>
      <c r="D22" s="13" t="s">
        <v>441</v>
      </c>
    </row>
    <row r="23" spans="1:4" x14ac:dyDescent="0.25">
      <c r="A23" s="13" t="s">
        <v>425</v>
      </c>
      <c r="B23" s="13" t="s">
        <v>419</v>
      </c>
      <c r="C23" s="13" t="s">
        <v>61</v>
      </c>
      <c r="D23" s="13" t="s">
        <v>442</v>
      </c>
    </row>
    <row r="24" spans="1:4" x14ac:dyDescent="0.25">
      <c r="A24" s="13" t="s">
        <v>425</v>
      </c>
      <c r="B24" s="13" t="s">
        <v>419</v>
      </c>
      <c r="C24" s="13" t="s">
        <v>52</v>
      </c>
      <c r="D24" s="13" t="s">
        <v>443</v>
      </c>
    </row>
    <row r="25" spans="1:4" x14ac:dyDescent="0.25">
      <c r="A25" s="13" t="s">
        <v>425</v>
      </c>
      <c r="B25" s="13" t="s">
        <v>419</v>
      </c>
      <c r="C25" s="13" t="s">
        <v>66</v>
      </c>
      <c r="D25" s="13" t="s">
        <v>444</v>
      </c>
    </row>
    <row r="26" spans="1:4" x14ac:dyDescent="0.25">
      <c r="A26" s="13" t="s">
        <v>425</v>
      </c>
      <c r="B26" s="13" t="s">
        <v>419</v>
      </c>
      <c r="C26" s="13" t="s">
        <v>57</v>
      </c>
      <c r="D26" s="13" t="s">
        <v>445</v>
      </c>
    </row>
    <row r="27" spans="1:4" x14ac:dyDescent="0.25">
      <c r="A27" s="13" t="s">
        <v>425</v>
      </c>
      <c r="B27" s="13" t="s">
        <v>419</v>
      </c>
      <c r="C27" s="13" t="s">
        <v>52</v>
      </c>
      <c r="D27" s="13" t="s">
        <v>446</v>
      </c>
    </row>
    <row r="28" spans="1:4" x14ac:dyDescent="0.25">
      <c r="A28" s="13" t="s">
        <v>425</v>
      </c>
      <c r="B28" s="13" t="s">
        <v>419</v>
      </c>
      <c r="C28" s="13" t="s">
        <v>66</v>
      </c>
      <c r="D28" s="13" t="s">
        <v>447</v>
      </c>
    </row>
    <row r="29" spans="1:4" x14ac:dyDescent="0.25">
      <c r="A29" s="13" t="s">
        <v>425</v>
      </c>
      <c r="B29" s="13" t="s">
        <v>419</v>
      </c>
      <c r="C29" s="13" t="s">
        <v>57</v>
      </c>
      <c r="D29" s="13" t="s">
        <v>448</v>
      </c>
    </row>
    <row r="30" spans="1:4" x14ac:dyDescent="0.25">
      <c r="A30" s="13" t="s">
        <v>425</v>
      </c>
      <c r="B30" s="13" t="s">
        <v>419</v>
      </c>
      <c r="C30" s="13" t="s">
        <v>68</v>
      </c>
      <c r="D30" s="13" t="s">
        <v>449</v>
      </c>
    </row>
    <row r="31" spans="1:4" x14ac:dyDescent="0.25">
      <c r="A31" s="13" t="s">
        <v>425</v>
      </c>
      <c r="B31" s="13" t="s">
        <v>419</v>
      </c>
      <c r="C31" s="13" t="s">
        <v>52</v>
      </c>
      <c r="D31" s="13" t="s">
        <v>450</v>
      </c>
    </row>
    <row r="32" spans="1:4" x14ac:dyDescent="0.25">
      <c r="A32" s="13" t="s">
        <v>425</v>
      </c>
      <c r="B32" s="13" t="s">
        <v>419</v>
      </c>
      <c r="C32" s="13" t="s">
        <v>66</v>
      </c>
      <c r="D32" s="13" t="s">
        <v>451</v>
      </c>
    </row>
    <row r="33" spans="1:4" x14ac:dyDescent="0.25">
      <c r="A33" s="13" t="s">
        <v>425</v>
      </c>
      <c r="B33" s="13" t="s">
        <v>419</v>
      </c>
      <c r="C33" s="13" t="s">
        <v>57</v>
      </c>
      <c r="D33" s="13" t="s">
        <v>452</v>
      </c>
    </row>
    <row r="34" spans="1:4" x14ac:dyDescent="0.25">
      <c r="A34" s="13" t="s">
        <v>425</v>
      </c>
      <c r="B34" s="13" t="s">
        <v>419</v>
      </c>
      <c r="C34" s="13" t="s">
        <v>68</v>
      </c>
      <c r="D34" s="13" t="s">
        <v>453</v>
      </c>
    </row>
    <row r="35" spans="1:4" x14ac:dyDescent="0.25">
      <c r="A35" s="13" t="s">
        <v>425</v>
      </c>
      <c r="B35" s="13" t="s">
        <v>419</v>
      </c>
      <c r="C35" s="13" t="s">
        <v>66</v>
      </c>
      <c r="D35" s="13" t="s">
        <v>454</v>
      </c>
    </row>
    <row r="36" spans="1:4" x14ac:dyDescent="0.25">
      <c r="A36" s="13" t="s">
        <v>425</v>
      </c>
      <c r="B36" s="13" t="s">
        <v>419</v>
      </c>
      <c r="C36" s="13" t="s">
        <v>57</v>
      </c>
      <c r="D36" s="13" t="s">
        <v>455</v>
      </c>
    </row>
    <row r="37" spans="1:4" x14ac:dyDescent="0.25">
      <c r="A37" s="13" t="s">
        <v>425</v>
      </c>
      <c r="B37" s="13" t="s">
        <v>419</v>
      </c>
      <c r="C37" s="13" t="s">
        <v>68</v>
      </c>
      <c r="D37" s="13" t="s">
        <v>456</v>
      </c>
    </row>
    <row r="38" spans="1:4" x14ac:dyDescent="0.25">
      <c r="A38" s="13" t="s">
        <v>425</v>
      </c>
      <c r="B38" s="13" t="s">
        <v>419</v>
      </c>
      <c r="C38" s="13" t="s">
        <v>70</v>
      </c>
      <c r="D38" s="13" t="s">
        <v>457</v>
      </c>
    </row>
    <row r="39" spans="1:4" x14ac:dyDescent="0.25">
      <c r="A39" s="13" t="s">
        <v>425</v>
      </c>
      <c r="B39" s="13" t="s">
        <v>419</v>
      </c>
      <c r="C39" s="13" t="s">
        <v>57</v>
      </c>
      <c r="D39" s="13" t="s">
        <v>458</v>
      </c>
    </row>
    <row r="40" spans="1:4" x14ac:dyDescent="0.25">
      <c r="A40" s="13" t="s">
        <v>425</v>
      </c>
      <c r="B40" s="13" t="s">
        <v>419</v>
      </c>
      <c r="C40" s="13" t="s">
        <v>68</v>
      </c>
      <c r="D40" s="13" t="s">
        <v>459</v>
      </c>
    </row>
    <row r="41" spans="1:4" x14ac:dyDescent="0.25">
      <c r="A41" s="13" t="s">
        <v>425</v>
      </c>
      <c r="B41" s="13" t="s">
        <v>419</v>
      </c>
      <c r="C41" s="13" t="s">
        <v>70</v>
      </c>
      <c r="D41" s="13" t="s">
        <v>460</v>
      </c>
    </row>
    <row r="42" spans="1:4" x14ac:dyDescent="0.25">
      <c r="A42" s="13" t="s">
        <v>425</v>
      </c>
      <c r="B42" s="13" t="s">
        <v>419</v>
      </c>
      <c r="C42" s="13" t="s">
        <v>52</v>
      </c>
      <c r="D42" s="13" t="s">
        <v>461</v>
      </c>
    </row>
  </sheetData>
  <conditionalFormatting sqref="B2:B42">
    <cfRule type="cellIs" dxfId="0" priority="1" operator="equal">
      <formula>"HIGH"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F75B5"/>
  </sheetPr>
  <dimension ref="A1:C6"/>
  <sheetViews>
    <sheetView showGridLines="0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26" customWidth="1"/>
    <col min="2" max="2" width="13" customWidth="1"/>
    <col min="3" max="3" width="12" customWidth="1"/>
  </cols>
  <sheetData>
    <row r="1" spans="1:3" x14ac:dyDescent="0.25">
      <c r="A1" s="11" t="s">
        <v>462</v>
      </c>
      <c r="B1" s="11" t="s">
        <v>463</v>
      </c>
      <c r="C1" s="11" t="s">
        <v>33</v>
      </c>
    </row>
    <row r="2" spans="1:3" x14ac:dyDescent="0.25">
      <c r="A2" s="13" t="s">
        <v>464</v>
      </c>
      <c r="B2" s="13">
        <v>0</v>
      </c>
      <c r="C2" s="13" t="s">
        <v>465</v>
      </c>
    </row>
    <row r="3" spans="1:3" x14ac:dyDescent="0.25">
      <c r="A3" s="13" t="s">
        <v>466</v>
      </c>
      <c r="B3" s="13">
        <v>0</v>
      </c>
      <c r="C3" s="13" t="s">
        <v>465</v>
      </c>
    </row>
    <row r="4" spans="1:3" x14ac:dyDescent="0.25">
      <c r="A4" s="13" t="s">
        <v>467</v>
      </c>
      <c r="B4" s="13">
        <v>0</v>
      </c>
      <c r="C4" s="13" t="s">
        <v>465</v>
      </c>
    </row>
    <row r="5" spans="1:3" x14ac:dyDescent="0.25">
      <c r="A5" s="13" t="s">
        <v>468</v>
      </c>
      <c r="B5" s="13">
        <v>0</v>
      </c>
      <c r="C5" s="13" t="s">
        <v>465</v>
      </c>
    </row>
    <row r="6" spans="1:3" x14ac:dyDescent="0.25">
      <c r="A6" s="13" t="s">
        <v>469</v>
      </c>
      <c r="B6" s="13">
        <v>0</v>
      </c>
      <c r="C6" s="13" t="s">
        <v>465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F75B5"/>
  </sheetPr>
  <dimension ref="A1:D11"/>
  <sheetViews>
    <sheetView showGridLines="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7" customWidth="1"/>
    <col min="2" max="2" width="19" customWidth="1"/>
    <col min="3" max="3" width="28" customWidth="1"/>
    <col min="4" max="4" width="27" customWidth="1"/>
  </cols>
  <sheetData>
    <row r="1" spans="1:4" x14ac:dyDescent="0.25">
      <c r="A1" s="11" t="s">
        <v>470</v>
      </c>
      <c r="B1" s="11" t="s">
        <v>471</v>
      </c>
      <c r="C1" s="11" t="s">
        <v>472</v>
      </c>
      <c r="D1" s="11" t="s">
        <v>473</v>
      </c>
    </row>
    <row r="2" spans="1:4" x14ac:dyDescent="0.25">
      <c r="A2" s="13" t="s">
        <v>2</v>
      </c>
      <c r="B2" s="13" t="s">
        <v>41</v>
      </c>
      <c r="C2" s="13" t="s">
        <v>474</v>
      </c>
      <c r="D2" s="13" t="s">
        <v>475</v>
      </c>
    </row>
    <row r="3" spans="1:4" x14ac:dyDescent="0.25">
      <c r="A3" s="13" t="s">
        <v>3</v>
      </c>
      <c r="B3" s="13" t="s">
        <v>112</v>
      </c>
      <c r="C3" s="13" t="s">
        <v>476</v>
      </c>
      <c r="D3" s="13" t="s">
        <v>477</v>
      </c>
    </row>
    <row r="4" spans="1:4" x14ac:dyDescent="0.25">
      <c r="A4" s="13" t="s">
        <v>224</v>
      </c>
      <c r="B4" s="13" t="s">
        <v>113</v>
      </c>
      <c r="C4" s="13" t="s">
        <v>478</v>
      </c>
      <c r="D4" s="13" t="s">
        <v>479</v>
      </c>
    </row>
    <row r="5" spans="1:4" x14ac:dyDescent="0.25">
      <c r="A5" s="13" t="s">
        <v>480</v>
      </c>
      <c r="B5" s="13" t="s">
        <v>481</v>
      </c>
      <c r="C5" s="13" t="s">
        <v>224</v>
      </c>
      <c r="D5" s="13" t="s">
        <v>482</v>
      </c>
    </row>
    <row r="6" spans="1:4" x14ac:dyDescent="0.25">
      <c r="A6" s="13" t="s">
        <v>483</v>
      </c>
      <c r="B6" s="13" t="s">
        <v>236</v>
      </c>
      <c r="C6" s="13" t="s">
        <v>484</v>
      </c>
      <c r="D6" s="13" t="s">
        <v>485</v>
      </c>
    </row>
    <row r="7" spans="1:4" x14ac:dyDescent="0.25">
      <c r="A7" s="13" t="s">
        <v>486</v>
      </c>
      <c r="B7" s="13" t="s">
        <v>324</v>
      </c>
      <c r="C7" s="13" t="s">
        <v>487</v>
      </c>
      <c r="D7" s="13" t="s">
        <v>488</v>
      </c>
    </row>
    <row r="8" spans="1:4" x14ac:dyDescent="0.25">
      <c r="A8" s="13" t="s">
        <v>489</v>
      </c>
      <c r="B8" s="13" t="s">
        <v>1</v>
      </c>
      <c r="C8" s="13" t="s">
        <v>490</v>
      </c>
      <c r="D8" s="13" t="s">
        <v>491</v>
      </c>
    </row>
    <row r="9" spans="1:4" x14ac:dyDescent="0.25">
      <c r="A9" s="13" t="s">
        <v>394</v>
      </c>
      <c r="B9" s="13" t="s">
        <v>1</v>
      </c>
      <c r="C9" s="13" t="s">
        <v>492</v>
      </c>
      <c r="D9" s="13" t="s">
        <v>493</v>
      </c>
    </row>
    <row r="10" spans="1:4" x14ac:dyDescent="0.25">
      <c r="A10" s="13" t="s">
        <v>408</v>
      </c>
      <c r="B10" s="13" t="s">
        <v>494</v>
      </c>
      <c r="C10" s="13" t="s">
        <v>408</v>
      </c>
      <c r="D10" s="13" t="s">
        <v>495</v>
      </c>
    </row>
    <row r="11" spans="1:4" x14ac:dyDescent="0.25">
      <c r="A11" s="13" t="s">
        <v>496</v>
      </c>
      <c r="B11" s="13" t="s">
        <v>497</v>
      </c>
      <c r="C11" s="13" t="s">
        <v>498</v>
      </c>
      <c r="D11" s="13" t="s">
        <v>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F75B5"/>
  </sheetPr>
  <dimension ref="A1:B21"/>
  <sheetViews>
    <sheetView showGridLines="0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22" customWidth="1"/>
    <col min="2" max="2" width="45.7109375" customWidth="1"/>
  </cols>
  <sheetData>
    <row r="1" spans="1:2" x14ac:dyDescent="0.25">
      <c r="A1" s="11" t="s">
        <v>20</v>
      </c>
      <c r="B1" s="11" t="s">
        <v>500</v>
      </c>
    </row>
    <row r="2" spans="1:2" x14ac:dyDescent="0.25">
      <c r="A2" s="13" t="s">
        <v>501</v>
      </c>
      <c r="B2" s="13" t="s">
        <v>502</v>
      </c>
    </row>
    <row r="3" spans="1:2" x14ac:dyDescent="0.25">
      <c r="A3" s="13" t="s">
        <v>503</v>
      </c>
      <c r="B3" s="13" t="s">
        <v>504</v>
      </c>
    </row>
    <row r="4" spans="1:2" x14ac:dyDescent="0.25">
      <c r="A4" s="13" t="s">
        <v>14</v>
      </c>
      <c r="B4" s="13" t="s">
        <v>505</v>
      </c>
    </row>
    <row r="5" spans="1:2" x14ac:dyDescent="0.25">
      <c r="A5" s="13" t="s">
        <v>506</v>
      </c>
      <c r="B5" s="13" t="s">
        <v>507</v>
      </c>
    </row>
    <row r="6" spans="1:2" x14ac:dyDescent="0.25">
      <c r="A6" s="13" t="s">
        <v>251</v>
      </c>
      <c r="B6" s="13" t="s">
        <v>508</v>
      </c>
    </row>
    <row r="7" spans="1:2" x14ac:dyDescent="0.25">
      <c r="A7" s="13" t="s">
        <v>509</v>
      </c>
      <c r="B7" s="13" t="s">
        <v>510</v>
      </c>
    </row>
    <row r="8" spans="1:2" x14ac:dyDescent="0.25">
      <c r="A8" s="13" t="s">
        <v>511</v>
      </c>
      <c r="B8" s="13" t="s">
        <v>512</v>
      </c>
    </row>
    <row r="9" spans="1:2" x14ac:dyDescent="0.25">
      <c r="A9" s="13" t="s">
        <v>4</v>
      </c>
      <c r="B9" s="13" t="s">
        <v>513</v>
      </c>
    </row>
    <row r="10" spans="1:2" x14ac:dyDescent="0.25">
      <c r="A10" s="13" t="s">
        <v>514</v>
      </c>
      <c r="B10" s="13" t="s">
        <v>515</v>
      </c>
    </row>
    <row r="11" spans="1:2" x14ac:dyDescent="0.25">
      <c r="A11" s="13" t="s">
        <v>516</v>
      </c>
      <c r="B11" s="13" t="s">
        <v>517</v>
      </c>
    </row>
    <row r="12" spans="1:2" x14ac:dyDescent="0.25">
      <c r="A12" s="13" t="s">
        <v>5</v>
      </c>
      <c r="B12" s="13" t="s">
        <v>518</v>
      </c>
    </row>
    <row r="13" spans="1:2" x14ac:dyDescent="0.25">
      <c r="A13" s="13" t="s">
        <v>519</v>
      </c>
      <c r="B13" s="13" t="s">
        <v>520</v>
      </c>
    </row>
    <row r="14" spans="1:2" x14ac:dyDescent="0.25">
      <c r="A14" s="13" t="s">
        <v>17</v>
      </c>
      <c r="B14" s="13" t="s">
        <v>521</v>
      </c>
    </row>
    <row r="15" spans="1:2" x14ac:dyDescent="0.25">
      <c r="A15" s="13" t="s">
        <v>401</v>
      </c>
      <c r="B15" s="13" t="s">
        <v>522</v>
      </c>
    </row>
    <row r="16" spans="1:2" x14ac:dyDescent="0.25">
      <c r="A16" s="13" t="s">
        <v>399</v>
      </c>
      <c r="B16" s="13" t="s">
        <v>523</v>
      </c>
    </row>
    <row r="17" spans="1:2" x14ac:dyDescent="0.25">
      <c r="A17" s="13" t="s">
        <v>408</v>
      </c>
      <c r="B17" s="13" t="s">
        <v>524</v>
      </c>
    </row>
    <row r="18" spans="1:2" x14ac:dyDescent="0.25">
      <c r="A18" s="13" t="s">
        <v>525</v>
      </c>
      <c r="B18" s="13" t="s">
        <v>526</v>
      </c>
    </row>
    <row r="19" spans="1:2" x14ac:dyDescent="0.25">
      <c r="A19" s="13" t="s">
        <v>527</v>
      </c>
      <c r="B19" s="13" t="s">
        <v>528</v>
      </c>
    </row>
    <row r="20" spans="1:2" x14ac:dyDescent="0.25">
      <c r="A20" s="13" t="s">
        <v>529</v>
      </c>
      <c r="B20" s="13" t="s">
        <v>530</v>
      </c>
    </row>
    <row r="21" spans="1:2" x14ac:dyDescent="0.25">
      <c r="A21" s="13" t="s">
        <v>531</v>
      </c>
      <c r="B21" s="13" t="s">
        <v>532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F75B5"/>
  </sheetPr>
  <dimension ref="A1:L14"/>
  <sheetViews>
    <sheetView showGridLines="0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2" max="2" width="18.5703125" customWidth="1"/>
    <col min="3" max="3" width="14" customWidth="1"/>
    <col min="4" max="4" width="13.85546875" customWidth="1"/>
    <col min="5" max="5" width="14.42578125" customWidth="1"/>
  </cols>
  <sheetData>
    <row r="1" spans="1:12" x14ac:dyDescent="0.25">
      <c r="A1" s="48" t="s">
        <v>533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5">
      <c r="A2" s="5" t="s">
        <v>1</v>
      </c>
      <c r="B2" s="5" t="s">
        <v>2</v>
      </c>
      <c r="C2" s="5" t="s">
        <v>534</v>
      </c>
      <c r="D2" s="5" t="s">
        <v>509</v>
      </c>
      <c r="E2" s="5" t="s">
        <v>13</v>
      </c>
      <c r="F2" s="5" t="s">
        <v>4</v>
      </c>
      <c r="G2" s="5" t="s">
        <v>535</v>
      </c>
      <c r="H2" s="5" t="s">
        <v>516</v>
      </c>
      <c r="I2" s="5" t="s">
        <v>536</v>
      </c>
      <c r="J2" s="5" t="s">
        <v>5</v>
      </c>
      <c r="K2" s="5" t="s">
        <v>511</v>
      </c>
      <c r="L2" s="5" t="s">
        <v>537</v>
      </c>
    </row>
    <row r="3" spans="1:12" x14ac:dyDescent="0.25">
      <c r="A3" s="8">
        <f>DATE(2025,1,1)</f>
        <v>45658</v>
      </c>
      <c r="B3" s="7">
        <f>SUMIFS(Revenue!$F:$F,Revenue!$B:$B,"&gt;="&amp;A3,Revenue!$B:$B,"&lt;"&amp;EDATE(A3,1))</f>
        <v>2059800</v>
      </c>
      <c r="C3" s="7">
        <f t="shared" ref="C3:C14" si="0">B3*35%</f>
        <v>720930</v>
      </c>
      <c r="D3" s="7">
        <f t="shared" ref="D3:D14" si="1">B3-C3</f>
        <v>1338870</v>
      </c>
      <c r="E3" s="7">
        <f>SUMIFS(Expenses!$E:$E,Expenses!$B:$B,"&gt;="&amp;A3,Expenses!$B:$B,"&lt;"&amp;EDATE(A3,1))</f>
        <v>1366200</v>
      </c>
      <c r="F3" s="7">
        <f t="shared" ref="F3:F14" si="2">D3-E3</f>
        <v>-27330</v>
      </c>
      <c r="G3" s="7">
        <f t="shared" ref="G3:G14" si="3">B3*2.5%</f>
        <v>51495</v>
      </c>
      <c r="H3" s="7">
        <f t="shared" ref="H3:H14" si="4">F3-G3</f>
        <v>-78825</v>
      </c>
      <c r="I3" s="7">
        <f t="shared" ref="I3:I14" si="5">MAX(H3*25%,0)</f>
        <v>0</v>
      </c>
      <c r="J3" s="7">
        <f t="shared" ref="J3:J14" si="6">H3-I3</f>
        <v>-78825</v>
      </c>
      <c r="K3" s="9">
        <f t="shared" ref="K3:K14" si="7">IFERROR(D3/B3,0)</f>
        <v>0.65</v>
      </c>
      <c r="L3" s="9">
        <f t="shared" ref="L3:L14" si="8">IFERROR(J3/B3,0)</f>
        <v>-3.8268278473638215E-2</v>
      </c>
    </row>
    <row r="4" spans="1:12" x14ac:dyDescent="0.25">
      <c r="A4" s="8">
        <f>DATE(2025,2,1)</f>
        <v>45689</v>
      </c>
      <c r="B4" s="7">
        <f>SUMIFS(Revenue!$F:$F,Revenue!$B:$B,"&gt;="&amp;A4,Revenue!$B:$B,"&lt;"&amp;EDATE(A4,1))</f>
        <v>2160300</v>
      </c>
      <c r="C4" s="7">
        <f t="shared" si="0"/>
        <v>756105</v>
      </c>
      <c r="D4" s="7">
        <f t="shared" si="1"/>
        <v>1404195</v>
      </c>
      <c r="E4" s="7">
        <f>SUMIFS(Expenses!$E:$E,Expenses!$B:$B,"&gt;="&amp;A4,Expenses!$B:$B,"&lt;"&amp;EDATE(A4,1))</f>
        <v>1424700</v>
      </c>
      <c r="F4" s="7">
        <f t="shared" si="2"/>
        <v>-20505</v>
      </c>
      <c r="G4" s="7">
        <f t="shared" si="3"/>
        <v>54007.5</v>
      </c>
      <c r="H4" s="7">
        <f t="shared" si="4"/>
        <v>-74512.5</v>
      </c>
      <c r="I4" s="7">
        <f t="shared" si="5"/>
        <v>0</v>
      </c>
      <c r="J4" s="7">
        <f t="shared" si="6"/>
        <v>-74512.5</v>
      </c>
      <c r="K4" s="9">
        <f t="shared" si="7"/>
        <v>0.65</v>
      </c>
      <c r="L4" s="9">
        <f t="shared" si="8"/>
        <v>-3.4491737258714066E-2</v>
      </c>
    </row>
    <row r="5" spans="1:12" x14ac:dyDescent="0.25">
      <c r="A5" s="8">
        <f>DATE(2025,3,1)</f>
        <v>45717</v>
      </c>
      <c r="B5" s="7">
        <f>SUMIFS(Revenue!$F:$F,Revenue!$B:$B,"&gt;="&amp;A5,Revenue!$B:$B,"&lt;"&amp;EDATE(A5,1))</f>
        <v>2263000</v>
      </c>
      <c r="C5" s="7">
        <f t="shared" si="0"/>
        <v>792050</v>
      </c>
      <c r="D5" s="7">
        <f t="shared" si="1"/>
        <v>1470950</v>
      </c>
      <c r="E5" s="7">
        <f>SUMIFS(Expenses!$E:$E,Expenses!$B:$B,"&gt;="&amp;A5,Expenses!$B:$B,"&lt;"&amp;EDATE(A5,1))</f>
        <v>1427600</v>
      </c>
      <c r="F5" s="7">
        <f t="shared" si="2"/>
        <v>43350</v>
      </c>
      <c r="G5" s="7">
        <f t="shared" si="3"/>
        <v>56575</v>
      </c>
      <c r="H5" s="7">
        <f t="shared" si="4"/>
        <v>-13225</v>
      </c>
      <c r="I5" s="7">
        <f t="shared" si="5"/>
        <v>0</v>
      </c>
      <c r="J5" s="7">
        <f t="shared" si="6"/>
        <v>-13225</v>
      </c>
      <c r="K5" s="9">
        <f t="shared" si="7"/>
        <v>0.65</v>
      </c>
      <c r="L5" s="9">
        <f t="shared" si="8"/>
        <v>-5.8440123729562527E-3</v>
      </c>
    </row>
    <row r="6" spans="1:12" x14ac:dyDescent="0.25">
      <c r="A6" s="8">
        <f>DATE(2025,4,1)</f>
        <v>45748</v>
      </c>
      <c r="B6" s="7">
        <f>SUMIFS(Revenue!$F:$F,Revenue!$B:$B,"&gt;="&amp;A6,Revenue!$B:$B,"&lt;"&amp;EDATE(A6,1))</f>
        <v>2344800</v>
      </c>
      <c r="C6" s="7">
        <f t="shared" si="0"/>
        <v>820680</v>
      </c>
      <c r="D6" s="7">
        <f t="shared" si="1"/>
        <v>1524120</v>
      </c>
      <c r="E6" s="7">
        <f>SUMIFS(Expenses!$E:$E,Expenses!$B:$B,"&gt;="&amp;A6,Expenses!$B:$B,"&lt;"&amp;EDATE(A6,1))</f>
        <v>1487600</v>
      </c>
      <c r="F6" s="7">
        <f t="shared" si="2"/>
        <v>36520</v>
      </c>
      <c r="G6" s="7">
        <f t="shared" si="3"/>
        <v>58620</v>
      </c>
      <c r="H6" s="7">
        <f t="shared" si="4"/>
        <v>-22100</v>
      </c>
      <c r="I6" s="7">
        <f t="shared" si="5"/>
        <v>0</v>
      </c>
      <c r="J6" s="7">
        <f t="shared" si="6"/>
        <v>-22100</v>
      </c>
      <c r="K6" s="9">
        <f t="shared" si="7"/>
        <v>0.65</v>
      </c>
      <c r="L6" s="9">
        <f t="shared" si="8"/>
        <v>-9.4251108836574549E-3</v>
      </c>
    </row>
    <row r="7" spans="1:12" x14ac:dyDescent="0.25">
      <c r="A7" s="8">
        <f>DATE(2025,5,1)</f>
        <v>45778</v>
      </c>
      <c r="B7" s="7">
        <f>SUMIFS(Revenue!$F:$F,Revenue!$B:$B,"&gt;="&amp;A7,Revenue!$B:$B,"&lt;"&amp;EDATE(A7,1))</f>
        <v>2428100</v>
      </c>
      <c r="C7" s="7">
        <f t="shared" si="0"/>
        <v>849835</v>
      </c>
      <c r="D7" s="7">
        <f t="shared" si="1"/>
        <v>1578265</v>
      </c>
      <c r="E7" s="7">
        <f>SUMIFS(Expenses!$E:$E,Expenses!$B:$B,"&gt;="&amp;A7,Expenses!$B:$B,"&lt;"&amp;EDATE(A7,1))</f>
        <v>1446400</v>
      </c>
      <c r="F7" s="7">
        <f t="shared" si="2"/>
        <v>131865</v>
      </c>
      <c r="G7" s="7">
        <f t="shared" si="3"/>
        <v>60702.5</v>
      </c>
      <c r="H7" s="7">
        <f t="shared" si="4"/>
        <v>71162.5</v>
      </c>
      <c r="I7" s="7">
        <f t="shared" si="5"/>
        <v>17790.625</v>
      </c>
      <c r="J7" s="7">
        <f t="shared" si="6"/>
        <v>53371.875</v>
      </c>
      <c r="K7" s="9">
        <f t="shared" si="7"/>
        <v>0.65</v>
      </c>
      <c r="L7" s="9">
        <f t="shared" si="8"/>
        <v>2.1980921296486964E-2</v>
      </c>
    </row>
    <row r="8" spans="1:12" x14ac:dyDescent="0.25">
      <c r="A8" s="8">
        <f>DATE(2025,6,1)</f>
        <v>45809</v>
      </c>
      <c r="B8" s="7">
        <f>SUMIFS(Revenue!$F:$F,Revenue!$B:$B,"&gt;="&amp;A8,Revenue!$B:$B,"&lt;"&amp;EDATE(A8,1))</f>
        <v>2536500</v>
      </c>
      <c r="C8" s="7">
        <f t="shared" si="0"/>
        <v>887775</v>
      </c>
      <c r="D8" s="7">
        <f t="shared" si="1"/>
        <v>1648725</v>
      </c>
      <c r="E8" s="7">
        <f>SUMIFS(Expenses!$E:$E,Expenses!$B:$B,"&gt;="&amp;A8,Expenses!$B:$B,"&lt;"&amp;EDATE(A8,1))</f>
        <v>1507200</v>
      </c>
      <c r="F8" s="7">
        <f t="shared" si="2"/>
        <v>141525</v>
      </c>
      <c r="G8" s="7">
        <f t="shared" si="3"/>
        <v>63412.5</v>
      </c>
      <c r="H8" s="7">
        <f t="shared" si="4"/>
        <v>78112.5</v>
      </c>
      <c r="I8" s="7">
        <f t="shared" si="5"/>
        <v>19528.125</v>
      </c>
      <c r="J8" s="7">
        <f t="shared" si="6"/>
        <v>58584.375</v>
      </c>
      <c r="K8" s="9">
        <f t="shared" si="7"/>
        <v>0.65</v>
      </c>
      <c r="L8" s="9">
        <f t="shared" si="8"/>
        <v>2.3096540508574809E-2</v>
      </c>
    </row>
    <row r="9" spans="1:12" x14ac:dyDescent="0.25">
      <c r="A9" s="8">
        <f>DATE(2025,7,1)</f>
        <v>45839</v>
      </c>
      <c r="B9" s="7">
        <f>SUMIFS(Revenue!$F:$F,Revenue!$B:$B,"&gt;="&amp;A9,Revenue!$B:$B,"&lt;"&amp;EDATE(A9,1))</f>
        <v>2526700</v>
      </c>
      <c r="C9" s="7">
        <f t="shared" si="0"/>
        <v>884345</v>
      </c>
      <c r="D9" s="7">
        <f t="shared" si="1"/>
        <v>1642355</v>
      </c>
      <c r="E9" s="7">
        <f>SUMIFS(Expenses!$E:$E,Expenses!$B:$B,"&gt;="&amp;A9,Expenses!$B:$B,"&lt;"&amp;EDATE(A9,1))</f>
        <v>1554200</v>
      </c>
      <c r="F9" s="7">
        <f t="shared" si="2"/>
        <v>88155</v>
      </c>
      <c r="G9" s="7">
        <f t="shared" si="3"/>
        <v>63167.5</v>
      </c>
      <c r="H9" s="7">
        <f t="shared" si="4"/>
        <v>24987.5</v>
      </c>
      <c r="I9" s="7">
        <f t="shared" si="5"/>
        <v>6246.875</v>
      </c>
      <c r="J9" s="7">
        <f t="shared" si="6"/>
        <v>18740.625</v>
      </c>
      <c r="K9" s="9">
        <f t="shared" si="7"/>
        <v>0.65</v>
      </c>
      <c r="L9" s="9">
        <f t="shared" si="8"/>
        <v>7.4170360549333124E-3</v>
      </c>
    </row>
    <row r="10" spans="1:12" x14ac:dyDescent="0.25">
      <c r="A10" s="8">
        <f>DATE(2025,8,1)</f>
        <v>45870</v>
      </c>
      <c r="B10" s="7">
        <f>SUMIFS(Revenue!$F:$F,Revenue!$B:$B,"&gt;="&amp;A10,Revenue!$B:$B,"&lt;"&amp;EDATE(A10,1))</f>
        <v>2637700</v>
      </c>
      <c r="C10" s="7">
        <f t="shared" si="0"/>
        <v>923194.99999999988</v>
      </c>
      <c r="D10" s="7">
        <f t="shared" si="1"/>
        <v>1714505</v>
      </c>
      <c r="E10" s="7">
        <f>SUMIFS(Expenses!$E:$E,Expenses!$B:$B,"&gt;="&amp;A10,Expenses!$B:$B,"&lt;"&amp;EDATE(A10,1))</f>
        <v>1511300</v>
      </c>
      <c r="F10" s="7">
        <f t="shared" si="2"/>
        <v>203205</v>
      </c>
      <c r="G10" s="7">
        <f t="shared" si="3"/>
        <v>65942.5</v>
      </c>
      <c r="H10" s="7">
        <f t="shared" si="4"/>
        <v>137262.5</v>
      </c>
      <c r="I10" s="7">
        <f t="shared" si="5"/>
        <v>34315.625</v>
      </c>
      <c r="J10" s="7">
        <f t="shared" si="6"/>
        <v>102946.875</v>
      </c>
      <c r="K10" s="9">
        <f t="shared" si="7"/>
        <v>0.65</v>
      </c>
      <c r="L10" s="9">
        <f t="shared" si="8"/>
        <v>3.9029030973954583E-2</v>
      </c>
    </row>
    <row r="11" spans="1:12" x14ac:dyDescent="0.25">
      <c r="A11" s="8">
        <f>DATE(2025,9,1)</f>
        <v>45901</v>
      </c>
      <c r="B11" s="7">
        <f>SUMIFS(Revenue!$F:$F,Revenue!$B:$B,"&gt;="&amp;A11,Revenue!$B:$B,"&lt;"&amp;EDATE(A11,1))</f>
        <v>2725900</v>
      </c>
      <c r="C11" s="7">
        <f t="shared" si="0"/>
        <v>954064.99999999988</v>
      </c>
      <c r="D11" s="7">
        <f t="shared" si="1"/>
        <v>1771835</v>
      </c>
      <c r="E11" s="7">
        <f>SUMIFS(Expenses!$E:$E,Expenses!$B:$B,"&gt;="&amp;A11,Expenses!$B:$B,"&lt;"&amp;EDATE(A11,1))</f>
        <v>1604100</v>
      </c>
      <c r="F11" s="7">
        <f t="shared" si="2"/>
        <v>167735</v>
      </c>
      <c r="G11" s="7">
        <f t="shared" si="3"/>
        <v>68147.5</v>
      </c>
      <c r="H11" s="7">
        <f t="shared" si="4"/>
        <v>99587.5</v>
      </c>
      <c r="I11" s="7">
        <f t="shared" si="5"/>
        <v>24896.875</v>
      </c>
      <c r="J11" s="7">
        <f t="shared" si="6"/>
        <v>74690.625</v>
      </c>
      <c r="K11" s="9">
        <f t="shared" si="7"/>
        <v>0.65</v>
      </c>
      <c r="L11" s="9">
        <f t="shared" si="8"/>
        <v>2.7400354011519131E-2</v>
      </c>
    </row>
    <row r="12" spans="1:12" x14ac:dyDescent="0.25">
      <c r="A12" s="8">
        <f>DATE(2025,10,1)</f>
        <v>45931</v>
      </c>
      <c r="B12" s="7">
        <f>SUMIFS(Revenue!$F:$F,Revenue!$B:$B,"&gt;="&amp;A12,Revenue!$B:$B,"&lt;"&amp;EDATE(A12,1))</f>
        <v>2815700</v>
      </c>
      <c r="C12" s="7">
        <f t="shared" si="0"/>
        <v>985494.99999999988</v>
      </c>
      <c r="D12" s="7">
        <f t="shared" si="1"/>
        <v>1830205</v>
      </c>
      <c r="E12" s="7">
        <f>SUMIFS(Expenses!$E:$E,Expenses!$B:$B,"&gt;="&amp;A12,Expenses!$B:$B,"&lt;"&amp;EDATE(A12,1))</f>
        <v>1575600</v>
      </c>
      <c r="F12" s="7">
        <f t="shared" si="2"/>
        <v>254605</v>
      </c>
      <c r="G12" s="7">
        <f t="shared" si="3"/>
        <v>70392.5</v>
      </c>
      <c r="H12" s="7">
        <f t="shared" si="4"/>
        <v>184212.5</v>
      </c>
      <c r="I12" s="7">
        <f t="shared" si="5"/>
        <v>46053.125</v>
      </c>
      <c r="J12" s="7">
        <f t="shared" si="6"/>
        <v>138159.375</v>
      </c>
      <c r="K12" s="9">
        <f t="shared" si="7"/>
        <v>0.65</v>
      </c>
      <c r="L12" s="9">
        <f t="shared" si="8"/>
        <v>4.9067505416059948E-2</v>
      </c>
    </row>
    <row r="13" spans="1:12" x14ac:dyDescent="0.25">
      <c r="A13" s="8">
        <f>DATE(2025,11,1)</f>
        <v>45962</v>
      </c>
      <c r="B13" s="7">
        <f>SUMIFS(Revenue!$F:$F,Revenue!$B:$B,"&gt;="&amp;A13,Revenue!$B:$B,"&lt;"&amp;EDATE(A13,1))</f>
        <v>2957800</v>
      </c>
      <c r="C13" s="7">
        <f t="shared" si="0"/>
        <v>1035229.9999999999</v>
      </c>
      <c r="D13" s="7">
        <f t="shared" si="1"/>
        <v>1922570</v>
      </c>
      <c r="E13" s="7">
        <f>SUMIFS(Expenses!$E:$E,Expenses!$B:$B,"&gt;="&amp;A13,Expenses!$B:$B,"&lt;"&amp;EDATE(A13,1))</f>
        <v>1670400</v>
      </c>
      <c r="F13" s="7">
        <f t="shared" si="2"/>
        <v>252170</v>
      </c>
      <c r="G13" s="7">
        <f t="shared" si="3"/>
        <v>73945</v>
      </c>
      <c r="H13" s="7">
        <f t="shared" si="4"/>
        <v>178225</v>
      </c>
      <c r="I13" s="7">
        <f t="shared" si="5"/>
        <v>44556.25</v>
      </c>
      <c r="J13" s="7">
        <f t="shared" si="6"/>
        <v>133668.75</v>
      </c>
      <c r="K13" s="9">
        <f t="shared" si="7"/>
        <v>0.65</v>
      </c>
      <c r="L13" s="9">
        <f t="shared" si="8"/>
        <v>4.5191950098045844E-2</v>
      </c>
    </row>
    <row r="14" spans="1:12" x14ac:dyDescent="0.25">
      <c r="A14" s="8">
        <f>DATE(2025,12,1)</f>
        <v>45992</v>
      </c>
      <c r="B14" s="7">
        <f>SUMIFS(Revenue!$F:$F,Revenue!$B:$B,"&gt;="&amp;A14,Revenue!$B:$B,"&lt;"&amp;EDATE(A14,1))</f>
        <v>3154500</v>
      </c>
      <c r="C14" s="7">
        <f t="shared" si="0"/>
        <v>1104075</v>
      </c>
      <c r="D14" s="7">
        <f t="shared" si="1"/>
        <v>2050425</v>
      </c>
      <c r="E14" s="7">
        <f>SUMIFS(Expenses!$E:$E,Expenses!$B:$B,"&gt;="&amp;A14,Expenses!$B:$B,"&lt;"&amp;EDATE(A14,1))</f>
        <v>1735800</v>
      </c>
      <c r="F14" s="7">
        <f t="shared" si="2"/>
        <v>314625</v>
      </c>
      <c r="G14" s="7">
        <f t="shared" si="3"/>
        <v>78862.5</v>
      </c>
      <c r="H14" s="7">
        <f t="shared" si="4"/>
        <v>235762.5</v>
      </c>
      <c r="I14" s="7">
        <f t="shared" si="5"/>
        <v>58940.625</v>
      </c>
      <c r="J14" s="7">
        <f t="shared" si="6"/>
        <v>176821.875</v>
      </c>
      <c r="K14" s="9">
        <f t="shared" si="7"/>
        <v>0.65</v>
      </c>
      <c r="L14" s="9">
        <f t="shared" si="8"/>
        <v>5.6053851640513554E-2</v>
      </c>
    </row>
  </sheetData>
  <autoFilter ref="A2:L14" xr:uid="{00000000-0009-0000-0000-000011000000}"/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E8FD-2E9D-439F-8924-5EF14F72C750}">
  <sheetPr>
    <tabColor theme="3" tint="0.39997558519241921"/>
  </sheetPr>
  <dimension ref="A1:Y55"/>
  <sheetViews>
    <sheetView workbookViewId="0">
      <selection activeCell="B20" sqref="B20:C33"/>
    </sheetView>
  </sheetViews>
  <sheetFormatPr defaultRowHeight="15" x14ac:dyDescent="0.25"/>
  <cols>
    <col min="2" max="2" width="15.5703125" customWidth="1"/>
    <col min="3" max="3" width="15.28515625" customWidth="1"/>
    <col min="4" max="4" width="12.42578125" customWidth="1"/>
    <col min="5" max="5" width="14.140625" customWidth="1"/>
    <col min="6" max="6" width="11.42578125" customWidth="1"/>
    <col min="7" max="7" width="11.28515625" customWidth="1"/>
    <col min="8" max="8" width="13.28515625" customWidth="1"/>
    <col min="9" max="9" width="12.28515625" customWidth="1"/>
    <col min="10" max="10" width="16.140625" customWidth="1"/>
    <col min="11" max="11" width="12" customWidth="1"/>
    <col min="12" max="12" width="12.85546875" customWidth="1"/>
    <col min="13" max="13" width="12.7109375" customWidth="1"/>
    <col min="14" max="14" width="10.5703125" customWidth="1"/>
    <col min="15" max="15" width="15.140625" customWidth="1"/>
    <col min="17" max="18" width="12.140625" customWidth="1"/>
    <col min="19" max="19" width="14.140625" customWidth="1"/>
  </cols>
  <sheetData>
    <row r="1" spans="1:23" x14ac:dyDescent="0.25">
      <c r="A1" s="46"/>
      <c r="B1" s="46"/>
      <c r="C1" s="46"/>
      <c r="D1" s="46"/>
      <c r="E1" s="46"/>
      <c r="F1" s="46"/>
      <c r="G1" s="46"/>
      <c r="H1" s="59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x14ac:dyDescent="0.25">
      <c r="A2" s="46"/>
      <c r="B2" s="60" t="s">
        <v>538</v>
      </c>
      <c r="C2" s="60"/>
      <c r="D2" s="46"/>
      <c r="E2" s="60" t="s">
        <v>539</v>
      </c>
      <c r="F2" s="60"/>
      <c r="G2" s="60"/>
      <c r="H2" s="59"/>
      <c r="I2" s="60" t="s">
        <v>540</v>
      </c>
      <c r="J2" s="60"/>
      <c r="K2" s="60"/>
      <c r="L2" s="60"/>
      <c r="M2" s="46"/>
      <c r="N2" s="60" t="s">
        <v>541</v>
      </c>
      <c r="O2" s="60"/>
      <c r="P2" s="46"/>
      <c r="Q2" s="60" t="s">
        <v>542</v>
      </c>
      <c r="R2" s="60"/>
      <c r="S2" s="60"/>
      <c r="T2" s="46"/>
      <c r="U2" s="46"/>
      <c r="V2" s="46"/>
      <c r="W2" s="46"/>
    </row>
    <row r="3" spans="1:23" x14ac:dyDescent="0.25">
      <c r="A3" s="46"/>
      <c r="B3" s="60" t="s">
        <v>1</v>
      </c>
      <c r="C3" s="60" t="s">
        <v>2</v>
      </c>
      <c r="D3" s="46"/>
      <c r="E3" s="60" t="s">
        <v>1</v>
      </c>
      <c r="F3" s="60" t="s">
        <v>2</v>
      </c>
      <c r="G3" s="60" t="s">
        <v>3</v>
      </c>
      <c r="H3" s="59"/>
      <c r="I3" s="60" t="s">
        <v>1</v>
      </c>
      <c r="J3" s="60" t="s">
        <v>2</v>
      </c>
      <c r="K3" s="60" t="s">
        <v>4</v>
      </c>
      <c r="L3" s="60" t="s">
        <v>5</v>
      </c>
      <c r="M3" s="46"/>
      <c r="N3" s="60" t="s">
        <v>23</v>
      </c>
      <c r="O3" s="60" t="s">
        <v>24</v>
      </c>
      <c r="P3" s="46"/>
      <c r="Q3" s="60" t="s">
        <v>113</v>
      </c>
      <c r="R3" s="60" t="s">
        <v>224</v>
      </c>
      <c r="S3" s="60" t="s">
        <v>543</v>
      </c>
      <c r="T3" s="46"/>
      <c r="U3" s="46"/>
      <c r="V3" s="46"/>
      <c r="W3" s="46"/>
    </row>
    <row r="4" spans="1:23" x14ac:dyDescent="0.25">
      <c r="A4" s="46"/>
      <c r="B4" s="57">
        <v>45658</v>
      </c>
      <c r="C4" s="58">
        <f>Monthly_PnL!B3</f>
        <v>2059800</v>
      </c>
      <c r="D4" s="46"/>
      <c r="E4" s="57">
        <v>45658</v>
      </c>
      <c r="F4" s="58">
        <f>Monthly_PnL!B3</f>
        <v>2059800</v>
      </c>
      <c r="G4" s="58">
        <f>Monthly_PnL!E3</f>
        <v>1366200</v>
      </c>
      <c r="H4" s="59"/>
      <c r="I4" s="57">
        <v>45658</v>
      </c>
      <c r="J4" s="58">
        <v>2059800</v>
      </c>
      <c r="K4" s="58">
        <f>Monthly_PnL!H3</f>
        <v>-78825</v>
      </c>
      <c r="L4" s="58">
        <v>-78825</v>
      </c>
      <c r="M4" s="46"/>
      <c r="N4" s="56" t="s">
        <v>25</v>
      </c>
      <c r="O4" s="58">
        <v>9457400</v>
      </c>
      <c r="P4" s="46"/>
      <c r="Q4" s="56" t="s">
        <v>116</v>
      </c>
      <c r="R4" s="58">
        <v>10809700</v>
      </c>
      <c r="S4" s="58">
        <v>10009000</v>
      </c>
      <c r="T4" s="46"/>
      <c r="U4" s="46"/>
      <c r="V4" s="46"/>
      <c r="W4" s="46"/>
    </row>
    <row r="5" spans="1:23" x14ac:dyDescent="0.25">
      <c r="A5" s="46"/>
      <c r="B5" s="57">
        <v>45689</v>
      </c>
      <c r="C5" s="58">
        <f>Monthly_PnL!B4</f>
        <v>2160300</v>
      </c>
      <c r="D5" s="46"/>
      <c r="E5" s="57">
        <v>45689</v>
      </c>
      <c r="F5" s="58">
        <f>Monthly_PnL!B4</f>
        <v>2160300</v>
      </c>
      <c r="G5" s="58">
        <f>Monthly_PnL!E4</f>
        <v>1424700</v>
      </c>
      <c r="H5" s="59"/>
      <c r="I5" s="57">
        <v>45689</v>
      </c>
      <c r="J5" s="58">
        <v>2160300</v>
      </c>
      <c r="K5" s="58">
        <v>-20505</v>
      </c>
      <c r="L5" s="58">
        <v>-74513</v>
      </c>
      <c r="M5" s="46"/>
      <c r="N5" s="56" t="s">
        <v>26</v>
      </c>
      <c r="O5" s="58">
        <v>2167500</v>
      </c>
      <c r="P5" s="46"/>
      <c r="Q5" s="56" t="s">
        <v>118</v>
      </c>
      <c r="R5" s="58">
        <v>3135800</v>
      </c>
      <c r="S5" s="58">
        <v>2850700</v>
      </c>
      <c r="T5" s="46"/>
      <c r="U5" s="46"/>
      <c r="V5" s="46"/>
      <c r="W5" s="46"/>
    </row>
    <row r="6" spans="1:23" x14ac:dyDescent="0.25">
      <c r="A6" s="46"/>
      <c r="B6" s="57">
        <v>45717</v>
      </c>
      <c r="C6" s="58">
        <f>Monthly_PnL!B5</f>
        <v>2263000</v>
      </c>
      <c r="D6" s="46"/>
      <c r="E6" s="57">
        <v>45717</v>
      </c>
      <c r="F6" s="58">
        <f>Monthly_PnL!B5</f>
        <v>2263000</v>
      </c>
      <c r="G6" s="58">
        <f>Monthly_PnL!E5</f>
        <v>1427600</v>
      </c>
      <c r="H6" s="59"/>
      <c r="I6" s="57">
        <v>45717</v>
      </c>
      <c r="J6" s="58">
        <v>2263000</v>
      </c>
      <c r="K6" s="58">
        <v>43350</v>
      </c>
      <c r="L6" s="58">
        <v>-13225</v>
      </c>
      <c r="M6" s="46"/>
      <c r="N6" s="56" t="s">
        <v>27</v>
      </c>
      <c r="O6" s="58">
        <v>1839100</v>
      </c>
      <c r="P6" s="46"/>
      <c r="Q6" s="56" t="s">
        <v>120</v>
      </c>
      <c r="R6" s="58">
        <v>1931100</v>
      </c>
      <c r="S6" s="58">
        <v>1839100</v>
      </c>
      <c r="T6" s="46"/>
      <c r="U6" s="46"/>
      <c r="V6" s="46"/>
      <c r="W6" s="46"/>
    </row>
    <row r="7" spans="1:23" x14ac:dyDescent="0.25">
      <c r="A7" s="46"/>
      <c r="B7" s="57">
        <v>45748</v>
      </c>
      <c r="C7" s="58">
        <f>Monthly_PnL!B6</f>
        <v>2344800</v>
      </c>
      <c r="D7" s="46"/>
      <c r="E7" s="57">
        <v>45748</v>
      </c>
      <c r="F7" s="58">
        <f>Monthly_PnL!B6</f>
        <v>2344800</v>
      </c>
      <c r="G7" s="58">
        <f>Monthly_PnL!E6</f>
        <v>1487600</v>
      </c>
      <c r="H7" s="59"/>
      <c r="I7" s="57">
        <v>45748</v>
      </c>
      <c r="J7" s="58">
        <v>2344800</v>
      </c>
      <c r="K7" s="58">
        <v>36520</v>
      </c>
      <c r="L7" s="58">
        <v>-22100</v>
      </c>
      <c r="M7" s="46"/>
      <c r="N7" s="56" t="s">
        <v>28</v>
      </c>
      <c r="O7" s="58">
        <v>853900</v>
      </c>
      <c r="P7" s="46"/>
      <c r="Q7" s="56" t="s">
        <v>122</v>
      </c>
      <c r="R7" s="58">
        <v>913700</v>
      </c>
      <c r="S7" s="58">
        <v>853900</v>
      </c>
      <c r="T7" s="46"/>
      <c r="U7" s="46"/>
      <c r="V7" s="46"/>
      <c r="W7" s="46"/>
    </row>
    <row r="8" spans="1:23" x14ac:dyDescent="0.25">
      <c r="A8" s="46"/>
      <c r="B8" s="57">
        <v>45778</v>
      </c>
      <c r="C8" s="58">
        <f>Monthly_PnL!B7</f>
        <v>2428100</v>
      </c>
      <c r="D8" s="46"/>
      <c r="E8" s="57">
        <v>45778</v>
      </c>
      <c r="F8" s="58">
        <f>Monthly_PnL!B7</f>
        <v>2428100</v>
      </c>
      <c r="G8" s="58">
        <f>Monthly_PnL!E7</f>
        <v>1446400</v>
      </c>
      <c r="H8" s="59"/>
      <c r="I8" s="57">
        <v>45778</v>
      </c>
      <c r="J8" s="58">
        <v>2428100</v>
      </c>
      <c r="K8" s="58">
        <v>131865</v>
      </c>
      <c r="L8" s="58">
        <v>53372</v>
      </c>
      <c r="M8" s="46"/>
      <c r="N8" s="56" t="s">
        <v>29</v>
      </c>
      <c r="O8" s="58">
        <v>1510500</v>
      </c>
      <c r="P8" s="46"/>
      <c r="Q8" s="56" t="s">
        <v>124</v>
      </c>
      <c r="R8" s="58">
        <v>1691800</v>
      </c>
      <c r="S8" s="58">
        <v>1510500</v>
      </c>
      <c r="T8" s="46"/>
      <c r="U8" s="46"/>
      <c r="V8" s="46"/>
      <c r="W8" s="46"/>
    </row>
    <row r="9" spans="1:23" x14ac:dyDescent="0.25">
      <c r="A9" s="46"/>
      <c r="B9" s="57">
        <v>45809</v>
      </c>
      <c r="C9" s="58">
        <f>Monthly_PnL!B8</f>
        <v>2536500</v>
      </c>
      <c r="D9" s="46"/>
      <c r="E9" s="57">
        <v>45809</v>
      </c>
      <c r="F9" s="58">
        <f>Monthly_PnL!B8</f>
        <v>2536500</v>
      </c>
      <c r="G9" s="58">
        <f>Monthly_PnL!E8</f>
        <v>1507200</v>
      </c>
      <c r="H9" s="59"/>
      <c r="I9" s="57">
        <v>45809</v>
      </c>
      <c r="J9" s="58">
        <v>2536500</v>
      </c>
      <c r="K9" s="58">
        <v>141525</v>
      </c>
      <c r="L9" s="58">
        <v>58584</v>
      </c>
      <c r="M9" s="46"/>
      <c r="N9" s="56" t="s">
        <v>31</v>
      </c>
      <c r="O9" s="58">
        <v>0</v>
      </c>
      <c r="P9" s="46"/>
      <c r="Q9" s="56" t="s">
        <v>126</v>
      </c>
      <c r="R9" s="58">
        <v>1322800</v>
      </c>
      <c r="S9" s="58">
        <v>1247900</v>
      </c>
      <c r="T9" s="46"/>
      <c r="U9" s="46"/>
      <c r="V9" s="46"/>
      <c r="W9" s="46"/>
    </row>
    <row r="10" spans="1:23" x14ac:dyDescent="0.25">
      <c r="A10" s="46"/>
      <c r="B10" s="57">
        <v>45839</v>
      </c>
      <c r="C10" s="58">
        <f>Monthly_PnL!B9</f>
        <v>2526700</v>
      </c>
      <c r="D10" s="46"/>
      <c r="E10" s="57">
        <v>45839</v>
      </c>
      <c r="F10" s="58">
        <f>Monthly_PnL!B9</f>
        <v>2526700</v>
      </c>
      <c r="G10" s="58">
        <f>Monthly_PnL!E9</f>
        <v>1554200</v>
      </c>
      <c r="H10" s="59"/>
      <c r="I10" s="57">
        <v>45839</v>
      </c>
      <c r="J10" s="58">
        <v>2526700</v>
      </c>
      <c r="K10" s="58">
        <v>88155</v>
      </c>
      <c r="L10" s="58">
        <v>18741</v>
      </c>
      <c r="M10" s="46"/>
      <c r="N10" s="56" t="s">
        <v>35</v>
      </c>
      <c r="O10" s="58">
        <v>0</v>
      </c>
      <c r="P10" s="46"/>
      <c r="Q10" s="46"/>
      <c r="R10" s="46"/>
      <c r="S10" s="46"/>
      <c r="T10" s="46"/>
      <c r="U10" s="46"/>
      <c r="V10" s="46"/>
      <c r="W10" s="46"/>
    </row>
    <row r="11" spans="1:23" x14ac:dyDescent="0.25">
      <c r="A11" s="46"/>
      <c r="B11" s="57">
        <v>45870</v>
      </c>
      <c r="C11" s="58">
        <f>Monthly_PnL!B10</f>
        <v>2637700</v>
      </c>
      <c r="D11" s="46"/>
      <c r="E11" s="57">
        <v>45870</v>
      </c>
      <c r="F11" s="58">
        <f>Monthly_PnL!B10</f>
        <v>2637700</v>
      </c>
      <c r="G11" s="58">
        <f>Monthly_PnL!E10</f>
        <v>1511300</v>
      </c>
      <c r="H11" s="59"/>
      <c r="I11" s="57">
        <v>45870</v>
      </c>
      <c r="J11" s="58">
        <v>2637700</v>
      </c>
      <c r="K11" s="58">
        <v>203205</v>
      </c>
      <c r="L11" s="58">
        <v>102947</v>
      </c>
      <c r="M11" s="46"/>
      <c r="N11" s="56" t="s">
        <v>37</v>
      </c>
      <c r="O11" s="58">
        <v>0</v>
      </c>
      <c r="P11" s="46"/>
      <c r="Q11" s="46"/>
      <c r="R11" s="46"/>
      <c r="S11" s="46"/>
      <c r="T11" s="46"/>
      <c r="U11" s="46"/>
      <c r="V11" s="46"/>
      <c r="W11" s="46"/>
    </row>
    <row r="12" spans="1:23" x14ac:dyDescent="0.25">
      <c r="A12" s="46"/>
      <c r="B12" s="57">
        <v>45901</v>
      </c>
      <c r="C12" s="58">
        <f>Monthly_PnL!B11</f>
        <v>2725900</v>
      </c>
      <c r="D12" s="46"/>
      <c r="E12" s="57">
        <v>45901</v>
      </c>
      <c r="F12" s="58">
        <f>Monthly_PnL!B11</f>
        <v>2725900</v>
      </c>
      <c r="G12" s="58">
        <f>Monthly_PnL!E11</f>
        <v>1604100</v>
      </c>
      <c r="H12" s="59"/>
      <c r="I12" s="57">
        <v>45901</v>
      </c>
      <c r="J12" s="58">
        <v>2725900</v>
      </c>
      <c r="K12" s="58">
        <v>167735</v>
      </c>
      <c r="L12" s="58">
        <v>74691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</row>
    <row r="13" spans="1:23" x14ac:dyDescent="0.25">
      <c r="A13" s="46"/>
      <c r="B13" s="57">
        <v>45931</v>
      </c>
      <c r="C13" s="58">
        <f>Monthly_PnL!B12</f>
        <v>2815700</v>
      </c>
      <c r="D13" s="46"/>
      <c r="E13" s="57">
        <v>45931</v>
      </c>
      <c r="F13" s="58">
        <f>Monthly_PnL!B12</f>
        <v>2815700</v>
      </c>
      <c r="G13" s="58">
        <f>Monthly_PnL!E12</f>
        <v>1575600</v>
      </c>
      <c r="H13" s="59"/>
      <c r="I13" s="57">
        <v>45931</v>
      </c>
      <c r="J13" s="58">
        <v>2815700</v>
      </c>
      <c r="K13" s="58">
        <v>254605</v>
      </c>
      <c r="L13" s="58">
        <v>138159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</row>
    <row r="14" spans="1:23" x14ac:dyDescent="0.25">
      <c r="A14" s="46"/>
      <c r="B14" s="57">
        <v>45962</v>
      </c>
      <c r="C14" s="58">
        <f>Monthly_PnL!B13</f>
        <v>2957800</v>
      </c>
      <c r="D14" s="46"/>
      <c r="E14" s="57">
        <v>45962</v>
      </c>
      <c r="F14" s="58">
        <f>Monthly_PnL!B13</f>
        <v>2957800</v>
      </c>
      <c r="G14" s="58">
        <f>Monthly_PnL!E13</f>
        <v>1670400</v>
      </c>
      <c r="H14" s="59"/>
      <c r="I14" s="57">
        <v>45962</v>
      </c>
      <c r="J14" s="58">
        <v>2957800</v>
      </c>
      <c r="K14" s="56" t="s">
        <v>547</v>
      </c>
      <c r="L14" s="58">
        <v>133669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</row>
    <row r="15" spans="1:23" x14ac:dyDescent="0.25">
      <c r="A15" s="46"/>
      <c r="B15" s="57">
        <v>45992</v>
      </c>
      <c r="C15" s="58">
        <f>Monthly_PnL!B14</f>
        <v>3154500</v>
      </c>
      <c r="D15" s="46"/>
      <c r="E15" s="57">
        <v>45992</v>
      </c>
      <c r="F15" s="58">
        <f>Monthly_PnL!B14</f>
        <v>3154500</v>
      </c>
      <c r="G15" s="58">
        <f>Monthly_PnL!E14</f>
        <v>1735800</v>
      </c>
      <c r="H15" s="59"/>
      <c r="I15" s="57">
        <v>45992</v>
      </c>
      <c r="J15" s="58">
        <v>3154500</v>
      </c>
      <c r="K15" s="56" t="s">
        <v>548</v>
      </c>
      <c r="L15" s="58">
        <v>176822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</row>
    <row r="16" spans="1:23" x14ac:dyDescent="0.25">
      <c r="A16" s="46"/>
      <c r="B16" s="46"/>
      <c r="C16" s="46"/>
      <c r="D16" s="46"/>
      <c r="E16" s="46"/>
      <c r="F16" s="46"/>
      <c r="G16" s="46"/>
      <c r="H16" s="59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</row>
    <row r="17" spans="1:25" x14ac:dyDescent="0.25">
      <c r="A17" s="46"/>
      <c r="B17" s="46"/>
      <c r="C17" s="46"/>
      <c r="D17" s="46"/>
      <c r="E17" s="46"/>
      <c r="F17" s="46"/>
      <c r="G17" s="46"/>
      <c r="H17" s="59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</row>
    <row r="18" spans="1:25" x14ac:dyDescent="0.25">
      <c r="A18" s="46"/>
      <c r="B18" s="46"/>
      <c r="C18" s="46"/>
      <c r="D18" s="46"/>
      <c r="E18" s="46"/>
      <c r="F18" s="46"/>
      <c r="G18" s="46"/>
      <c r="H18" s="59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</row>
    <row r="19" spans="1:25" x14ac:dyDescent="0.25">
      <c r="A19" s="46"/>
      <c r="B19" s="46"/>
      <c r="C19" s="46"/>
      <c r="D19" s="46"/>
      <c r="E19" s="46"/>
      <c r="F19" s="46"/>
      <c r="G19" s="46"/>
      <c r="H19" s="59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 spans="1:25" x14ac:dyDescent="0.25">
      <c r="A20" s="46"/>
      <c r="B20" s="60" t="s">
        <v>544</v>
      </c>
      <c r="C20" s="60"/>
      <c r="D20" s="46"/>
      <c r="E20" s="60" t="s">
        <v>545</v>
      </c>
      <c r="F20" s="60"/>
      <c r="G20" s="46"/>
      <c r="H20" s="59"/>
      <c r="I20" s="60" t="s">
        <v>546</v>
      </c>
      <c r="J20" s="60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</row>
    <row r="21" spans="1:25" x14ac:dyDescent="0.25">
      <c r="A21" s="46"/>
      <c r="B21" s="60" t="s">
        <v>1</v>
      </c>
      <c r="C21" s="60" t="s">
        <v>14</v>
      </c>
      <c r="D21" s="46"/>
      <c r="E21" s="60" t="s">
        <v>252</v>
      </c>
      <c r="F21" s="60" t="s">
        <v>250</v>
      </c>
      <c r="G21" s="46"/>
      <c r="H21" s="59"/>
      <c r="I21" s="60" t="s">
        <v>252</v>
      </c>
      <c r="J21" s="60" t="s">
        <v>250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</row>
    <row r="22" spans="1:25" x14ac:dyDescent="0.25">
      <c r="A22" s="46"/>
      <c r="B22" s="57">
        <v>45658</v>
      </c>
      <c r="C22" s="58">
        <f>CashFlow!L2</f>
        <v>5645506.96</v>
      </c>
      <c r="D22" s="46"/>
      <c r="E22" s="56" t="s">
        <v>255</v>
      </c>
      <c r="F22" s="58">
        <v>1562300</v>
      </c>
      <c r="G22" s="46"/>
      <c r="H22" s="59"/>
      <c r="I22" s="56" t="s">
        <v>255</v>
      </c>
      <c r="J22" s="58">
        <v>781100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</row>
    <row r="23" spans="1:25" x14ac:dyDescent="0.25">
      <c r="A23" s="46"/>
      <c r="B23" s="57">
        <v>45689</v>
      </c>
      <c r="C23" s="58">
        <f>CashFlow!L3</f>
        <v>6337875.96</v>
      </c>
      <c r="D23" s="46"/>
      <c r="E23" s="56" t="s">
        <v>323</v>
      </c>
      <c r="F23" s="58">
        <v>0</v>
      </c>
      <c r="G23" s="46"/>
      <c r="H23" s="59"/>
      <c r="I23" s="56" t="s">
        <v>323</v>
      </c>
      <c r="J23" s="58">
        <v>0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</row>
    <row r="24" spans="1:25" x14ac:dyDescent="0.25">
      <c r="A24" s="46"/>
      <c r="B24" s="57">
        <v>45717</v>
      </c>
      <c r="C24" s="58">
        <f>CashFlow!L4</f>
        <v>7282949.9600000009</v>
      </c>
      <c r="D24" s="46"/>
      <c r="E24" s="56" t="s">
        <v>304</v>
      </c>
      <c r="F24" s="58">
        <v>690500</v>
      </c>
      <c r="G24" s="46"/>
      <c r="H24" s="59"/>
      <c r="I24" s="56" t="s">
        <v>304</v>
      </c>
      <c r="J24" s="58">
        <v>388900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</row>
    <row r="25" spans="1:25" x14ac:dyDescent="0.25">
      <c r="A25" s="46"/>
      <c r="B25" s="57">
        <v>45748</v>
      </c>
      <c r="C25" s="58">
        <f>CashFlow!L5</f>
        <v>8103949.9600000009</v>
      </c>
      <c r="D25" s="46"/>
      <c r="E25" s="56" t="s">
        <v>258</v>
      </c>
      <c r="F25" s="58">
        <v>5272000</v>
      </c>
      <c r="G25" s="46"/>
      <c r="H25" s="59"/>
      <c r="I25" s="56" t="s">
        <v>258</v>
      </c>
      <c r="J25" s="58">
        <v>2940600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</row>
    <row r="26" spans="1:25" x14ac:dyDescent="0.25">
      <c r="A26" s="46"/>
      <c r="B26" s="57">
        <v>45778</v>
      </c>
      <c r="C26" s="58">
        <f>CashFlow!L6</f>
        <v>8801828.9600000009</v>
      </c>
      <c r="D26" s="46"/>
      <c r="E26" s="46"/>
      <c r="F26" s="46"/>
      <c r="G26" s="46"/>
      <c r="H26" s="59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</row>
    <row r="27" spans="1:25" x14ac:dyDescent="0.25">
      <c r="A27" s="46"/>
      <c r="B27" s="57">
        <v>45809</v>
      </c>
      <c r="C27" s="58">
        <f>CashFlow!L7</f>
        <v>9798551.9600000009</v>
      </c>
      <c r="D27" s="46"/>
      <c r="E27" s="46"/>
      <c r="F27" s="46"/>
      <c r="G27" s="46"/>
      <c r="H27" s="59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 spans="1:25" x14ac:dyDescent="0.25">
      <c r="A28" s="46"/>
      <c r="B28" s="57">
        <v>45839</v>
      </c>
      <c r="C28" s="58">
        <f>CashFlow!L8</f>
        <v>10747636.960000001</v>
      </c>
      <c r="D28" s="46"/>
      <c r="E28" s="46"/>
      <c r="F28" s="46"/>
      <c r="G28" s="46"/>
      <c r="H28" s="59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</row>
    <row r="29" spans="1:25" x14ac:dyDescent="0.25">
      <c r="A29" s="46"/>
      <c r="B29" s="57">
        <v>45870</v>
      </c>
      <c r="C29" s="58">
        <f>CashFlow!L9</f>
        <v>11994287.960000001</v>
      </c>
      <c r="D29" s="46"/>
      <c r="E29" s="46"/>
      <c r="F29" s="46"/>
      <c r="G29" s="46"/>
      <c r="H29" s="59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</row>
    <row r="30" spans="1:25" x14ac:dyDescent="0.25">
      <c r="A30" s="46"/>
      <c r="B30" s="57">
        <v>45901</v>
      </c>
      <c r="C30" s="58">
        <f>CashFlow!L10</f>
        <v>13090808.960000001</v>
      </c>
      <c r="D30" s="46"/>
      <c r="E30" s="46"/>
      <c r="F30" s="46"/>
      <c r="G30" s="46"/>
      <c r="H30" s="59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 spans="1:25" x14ac:dyDescent="0.25">
      <c r="A31" s="46"/>
      <c r="B31" s="57">
        <v>45931</v>
      </c>
      <c r="C31" s="58">
        <f>CashFlow!L11</f>
        <v>14058195.960000001</v>
      </c>
      <c r="D31" s="46"/>
      <c r="E31" s="46"/>
      <c r="F31" s="46"/>
      <c r="G31" s="46"/>
      <c r="H31" s="59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 spans="1:25" x14ac:dyDescent="0.25">
      <c r="A32" s="46"/>
      <c r="B32" s="57">
        <v>45962</v>
      </c>
      <c r="C32" s="58">
        <f>CashFlow!L12</f>
        <v>15322961.960000001</v>
      </c>
      <c r="D32" s="46"/>
      <c r="E32" s="46"/>
      <c r="F32" s="46"/>
      <c r="G32" s="46"/>
      <c r="H32" s="59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 spans="1:25" x14ac:dyDescent="0.25">
      <c r="A33" s="46"/>
      <c r="B33" s="57">
        <v>45992</v>
      </c>
      <c r="C33" s="58">
        <f>CashFlow!L13</f>
        <v>16720560.960000001</v>
      </c>
      <c r="D33" s="46"/>
      <c r="E33" s="46"/>
      <c r="F33" s="46"/>
      <c r="G33" s="46"/>
      <c r="H33" s="59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 spans="1:25" x14ac:dyDescent="0.25">
      <c r="A34" s="46"/>
      <c r="B34" s="46"/>
      <c r="C34" s="46"/>
      <c r="D34" s="46"/>
      <c r="E34" s="46"/>
      <c r="F34" s="46"/>
      <c r="G34" s="46"/>
      <c r="H34" s="59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 spans="1:25" x14ac:dyDescent="0.25">
      <c r="A35" s="46"/>
      <c r="B35" s="46"/>
      <c r="C35" s="46"/>
      <c r="D35" s="46"/>
      <c r="E35" s="46"/>
      <c r="F35" s="46"/>
      <c r="G35" s="46"/>
      <c r="H35" s="59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 spans="1:25" x14ac:dyDescent="0.25">
      <c r="A36" s="46"/>
      <c r="B36" s="46"/>
      <c r="C36" s="46"/>
      <c r="D36" s="46"/>
      <c r="E36" s="46"/>
      <c r="F36" s="46"/>
      <c r="G36" s="46"/>
      <c r="H36" s="59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 spans="1:25" x14ac:dyDescent="0.25">
      <c r="A37" s="46"/>
      <c r="B37" s="46"/>
      <c r="C37" s="46"/>
      <c r="D37" s="46"/>
      <c r="E37" s="46"/>
      <c r="F37" s="46"/>
      <c r="G37" s="46"/>
      <c r="H37" s="59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 spans="1:25" x14ac:dyDescent="0.25">
      <c r="A38" s="46"/>
      <c r="B38" s="46"/>
      <c r="C38" s="46"/>
      <c r="D38" s="46"/>
      <c r="E38" s="46"/>
      <c r="F38" s="46"/>
      <c r="G38" s="46"/>
      <c r="H38" s="59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 spans="1:25" x14ac:dyDescent="0.25">
      <c r="A39" s="46"/>
      <c r="B39" s="46"/>
      <c r="C39" s="46"/>
      <c r="D39" s="46"/>
      <c r="E39" s="46"/>
      <c r="F39" s="46"/>
      <c r="G39" s="46"/>
      <c r="H39" s="59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 spans="1:25" x14ac:dyDescent="0.25">
      <c r="A40" s="46"/>
      <c r="B40" s="46"/>
      <c r="C40" s="46"/>
      <c r="D40" s="46"/>
      <c r="E40" s="46"/>
      <c r="F40" s="46"/>
      <c r="G40" s="46"/>
      <c r="H40" s="59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 spans="1:25" x14ac:dyDescent="0.25">
      <c r="A41" s="46"/>
      <c r="B41" s="46"/>
      <c r="C41" s="46"/>
      <c r="D41" s="46"/>
      <c r="E41" s="46"/>
      <c r="F41" s="46"/>
      <c r="G41" s="46"/>
      <c r="H41" s="59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 spans="1:25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 spans="1:25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 spans="1:25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 spans="1:25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 spans="1:25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 spans="1:25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 spans="1:25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 spans="1:25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 spans="1:25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 spans="1:25" x14ac:dyDescent="0.25">
      <c r="A51" s="46"/>
      <c r="B51" s="46"/>
    </row>
    <row r="52" spans="1:25" x14ac:dyDescent="0.25">
      <c r="A52" s="46"/>
      <c r="B52" s="46"/>
    </row>
    <row r="53" spans="1:25" x14ac:dyDescent="0.25">
      <c r="A53" s="46"/>
      <c r="B53" s="46"/>
    </row>
    <row r="54" spans="1:25" x14ac:dyDescent="0.25">
      <c r="A54" s="46"/>
      <c r="B54" s="46"/>
    </row>
    <row r="55" spans="1:25" x14ac:dyDescent="0.25">
      <c r="A55" s="46"/>
      <c r="B55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Dashboard</vt:lpstr>
      <vt:lpstr>Revenue</vt:lpstr>
      <vt:lpstr>Expenses</vt:lpstr>
      <vt:lpstr>Budget</vt:lpstr>
      <vt:lpstr>Monthly_Budget</vt:lpstr>
      <vt:lpstr>Variance</vt:lpstr>
      <vt:lpstr>CashFlow</vt:lpstr>
      <vt:lpstr>AR_Aging</vt:lpstr>
      <vt:lpstr>AP_Aging</vt:lpstr>
      <vt:lpstr>Working_Capital</vt:lpstr>
      <vt:lpstr>Profitability</vt:lpstr>
      <vt:lpstr>Forecast</vt:lpstr>
      <vt:lpstr>Scenarios</vt:lpstr>
      <vt:lpstr>Risk_Alerts</vt:lpstr>
      <vt:lpstr>Data_Quality</vt:lpstr>
      <vt:lpstr>Database_Design</vt:lpstr>
      <vt:lpstr>Formula_Guide</vt:lpstr>
      <vt:lpstr>Monthly_PnL</vt:lpstr>
      <vt:lpstr>HELPER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2026-08-25T01:42:52Z</dcterms:created>
  <dcterms:modified xsi:type="dcterms:W3CDTF">2026-09-01T06:30:48Z</dcterms:modified>
</cp:coreProperties>
</file>